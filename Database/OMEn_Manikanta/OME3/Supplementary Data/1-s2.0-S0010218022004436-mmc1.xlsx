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ferences_Publication\Combustion_and_Flame\03_OME\Proof\"/>
    </mc:Choice>
  </mc:AlternateContent>
  <xr:revisionPtr revIDLastSave="0" documentId="13_ncr:1_{EDAB5EA6-5164-4C58-AAB6-791C492B690D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Info" sheetId="18" r:id="rId1"/>
    <sheet name="Exp_Laminar_flame_speed" sheetId="16" r:id="rId2"/>
    <sheet name="Marksteinlength" sheetId="17" r:id="rId3"/>
    <sheet name="Ex_IDT_OME2_15bar_phi05" sheetId="2" r:id="rId4"/>
    <sheet name="Ex_IDT_OME2_15bar_phi2" sheetId="5" r:id="rId5"/>
    <sheet name="Ex_IDT_OME2_10bar_phi2" sheetId="14" r:id="rId6"/>
    <sheet name="Ex_IDT_OME3_15bar_phi05" sheetId="8" r:id="rId7"/>
    <sheet name="Ex_IDT_OME3_15bar_phi2" sheetId="11" r:id="rId8"/>
    <sheet name="Volume_profiles" sheetId="15" r:id="rId9"/>
  </sheets>
  <calcPr calcId="191029"/>
</workbook>
</file>

<file path=xl/calcChain.xml><?xml version="1.0" encoding="utf-8"?>
<calcChain xmlns="http://schemas.openxmlformats.org/spreadsheetml/2006/main">
  <c r="P7" i="5" l="1"/>
  <c r="O3" i="11" l="1"/>
  <c r="P3" i="11"/>
  <c r="O4" i="11"/>
  <c r="P4" i="11"/>
  <c r="O5" i="11"/>
  <c r="P5" i="11"/>
  <c r="O6" i="11"/>
  <c r="P6" i="11"/>
  <c r="O7" i="11"/>
  <c r="P7" i="11"/>
  <c r="O8" i="11"/>
  <c r="P8" i="11"/>
  <c r="O9" i="11"/>
  <c r="P9" i="11"/>
  <c r="O10" i="11"/>
  <c r="P10" i="11"/>
  <c r="O11" i="11"/>
  <c r="P11" i="11"/>
  <c r="O12" i="11"/>
  <c r="P12" i="11"/>
  <c r="P2" i="11"/>
  <c r="O2" i="11"/>
  <c r="N6" i="8"/>
  <c r="O6" i="8"/>
  <c r="N7" i="8"/>
  <c r="O7" i="8"/>
  <c r="N8" i="8"/>
  <c r="O8" i="8"/>
  <c r="N9" i="8"/>
  <c r="O9" i="8"/>
  <c r="N10" i="8"/>
  <c r="O10" i="8"/>
  <c r="N11" i="8"/>
  <c r="O11" i="8"/>
  <c r="N12" i="8"/>
  <c r="O12" i="8"/>
  <c r="N13" i="8"/>
  <c r="O13" i="8"/>
  <c r="N14" i="8"/>
  <c r="O14" i="8"/>
  <c r="O5" i="8"/>
  <c r="N5" i="8"/>
  <c r="O4" i="8"/>
  <c r="N4" i="8"/>
  <c r="O3" i="8"/>
  <c r="N3" i="8"/>
  <c r="O2" i="8"/>
  <c r="N2" i="8"/>
  <c r="O5" i="5"/>
  <c r="P5" i="5"/>
  <c r="O6" i="5"/>
  <c r="P6" i="5"/>
  <c r="O7" i="5"/>
  <c r="O8" i="5"/>
  <c r="P8" i="5"/>
  <c r="O9" i="5"/>
  <c r="P9" i="5"/>
  <c r="O10" i="5"/>
  <c r="P10" i="5"/>
  <c r="O11" i="5"/>
  <c r="P11" i="5"/>
  <c r="O12" i="5"/>
  <c r="P12" i="5"/>
  <c r="O13" i="5"/>
  <c r="P13" i="5"/>
  <c r="O14" i="5"/>
  <c r="P14" i="5"/>
  <c r="O15" i="5"/>
  <c r="P15" i="5"/>
  <c r="O16" i="5"/>
  <c r="P16" i="5"/>
  <c r="O17" i="5"/>
  <c r="P17" i="5"/>
  <c r="P4" i="5"/>
  <c r="O4" i="5"/>
  <c r="P3" i="5"/>
  <c r="O3" i="5"/>
  <c r="P2" i="5"/>
  <c r="O2" i="5"/>
  <c r="O3" i="2"/>
  <c r="P3" i="2"/>
  <c r="O4" i="2"/>
  <c r="P4" i="2"/>
  <c r="O5" i="2"/>
  <c r="P5" i="2"/>
  <c r="O6" i="2"/>
  <c r="P6" i="2"/>
  <c r="P2" i="2"/>
  <c r="O2" i="2"/>
</calcChain>
</file>

<file path=xl/sharedStrings.xml><?xml version="1.0" encoding="utf-8"?>
<sst xmlns="http://schemas.openxmlformats.org/spreadsheetml/2006/main" count="283" uniqueCount="60">
  <si>
    <t>p0 / Pa</t>
  </si>
  <si>
    <t>pEOC / Pa</t>
  </si>
  <si>
    <t>T0 / K</t>
  </si>
  <si>
    <t>TEOC / K</t>
  </si>
  <si>
    <t>Fuel mole fraction / -</t>
  </si>
  <si>
    <t>OME2:0.020576</t>
  </si>
  <si>
    <t>O2 and inert mole fraction / -</t>
  </si>
  <si>
    <t>N2:0.77366;O2:0.20576</t>
  </si>
  <si>
    <t>phi / -</t>
  </si>
  <si>
    <t>IDT / s</t>
  </si>
  <si>
    <t>OME2:0.077519</t>
  </si>
  <si>
    <t>N2:0.72868;O2:0.1938</t>
  </si>
  <si>
    <t>OME3:0.017206</t>
  </si>
  <si>
    <t>CO2:0.77633;O2:0.20647</t>
  </si>
  <si>
    <t>OME3:0.065445</t>
  </si>
  <si>
    <t>N2:0.73822;O2:0.19634</t>
  </si>
  <si>
    <t>N2:0.7382;O2:0.19634</t>
  </si>
  <si>
    <t>1000/Tc</t>
  </si>
  <si>
    <t>IDT[ms]</t>
  </si>
  <si>
    <t>Test</t>
  </si>
  <si>
    <t>gas (molar)</t>
  </si>
  <si>
    <t>N2:0.92248;OME2:0.07752</t>
  </si>
  <si>
    <t>t / s</t>
  </si>
  <si>
    <t>V / m^3</t>
  </si>
  <si>
    <t>p / Pa</t>
  </si>
  <si>
    <t>phi 2.0</t>
  </si>
  <si>
    <t>Pc 10 bar</t>
  </si>
  <si>
    <t>N2:0.97942;OME2:0.020576</t>
  </si>
  <si>
    <t>Pc 15 bar</t>
  </si>
  <si>
    <t>phi 0.5</t>
  </si>
  <si>
    <t>OME2/OME3</t>
  </si>
  <si>
    <t>OME1</t>
  </si>
  <si>
    <t>1 bar</t>
  </si>
  <si>
    <t>3 bar</t>
  </si>
  <si>
    <t>443 K</t>
  </si>
  <si>
    <t>OME2</t>
  </si>
  <si>
    <t>5 bar</t>
  </si>
  <si>
    <t>393K</t>
  </si>
  <si>
    <t>OME3</t>
  </si>
  <si>
    <t>OME 1</t>
  </si>
  <si>
    <t>OME 2</t>
  </si>
  <si>
    <t>OME 3</t>
  </si>
  <si>
    <t>Lb</t>
  </si>
  <si>
    <t>MarketeinLength</t>
  </si>
  <si>
    <t>10.1016/j.fuel.2010.07.040.</t>
  </si>
  <si>
    <t xml:space="preserve">10.1016/j.fuel.2021.120754 </t>
  </si>
  <si>
    <t>deVries</t>
  </si>
  <si>
    <t>Wang</t>
  </si>
  <si>
    <t>1bar, zyl. Bombe</t>
  </si>
  <si>
    <t>298 K</t>
  </si>
  <si>
    <t>DME</t>
  </si>
  <si>
    <t xml:space="preserve">From Literature </t>
  </si>
  <si>
    <t>Calculated</t>
  </si>
  <si>
    <t>pEOCmin /Pa</t>
  </si>
  <si>
    <t>pEOCmax / Pa</t>
  </si>
  <si>
    <t>TEOCmin / K</t>
  </si>
  <si>
    <t>TEOCmax / K</t>
  </si>
  <si>
    <t>SL[cm/s]</t>
  </si>
  <si>
    <t>Φ</t>
  </si>
  <si>
    <r>
      <rPr>
        <b/>
        <sz val="12"/>
        <rFont val="Arial"/>
        <family val="2"/>
      </rPr>
      <t>∆</t>
    </r>
    <r>
      <rPr>
        <b/>
        <sz val="12"/>
        <rFont val="Calibri"/>
        <family val="2"/>
      </rPr>
      <t xml:space="preserve"> SL[cm/s]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</si>
</sst>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0"/>
    <numFmt numFmtId="166" formatCode="0.000"/>
  </numFmts>
  <fonts count="22">
    <font>
      <sz val="11"/>
      <name val="Calibri"/>
    </font>
    <font>
      <sz val="11"/>
      <name val="Calibri"/>
      <family val="2"/>
    </font>
    <font>
      <sz val="11"/>
      <color rgb="FF9C0006"/>
      <name val="Calibri"/>
      <family val="2"/>
      <scheme val="minor"/>
    </font>
    <font>
      <sz val="11"/>
      <name val="Calibri"/>
      <family val="2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name val="Calibri"/>
      <family val="2"/>
    </font>
    <font>
      <u/>
      <sz val="11"/>
      <color theme="10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  <scheme val="minor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Arial"/>
      <family val="2"/>
    </font>
    <font>
      <b/>
      <sz val="14"/>
      <name val="Times New Roman"/>
      <family val="1"/>
    </font>
    <font>
      <b/>
      <sz val="14"/>
      <color rgb="FF9C0006"/>
      <name val="Calibri"/>
      <family val="2"/>
      <scheme val="minor"/>
    </font>
    <font>
      <sz val="11"/>
      <name val="Times New Roman"/>
      <family val="1"/>
    </font>
    <font>
      <b/>
      <sz val="11"/>
      <color rgb="FF006100"/>
      <name val="Times New Roman"/>
      <family val="1"/>
    </font>
    <font>
      <u/>
      <sz val="11"/>
      <color theme="1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4"/>
      <color theme="1"/>
      <name val="Times New Roman"/>
      <family val="1"/>
    </font>
    <font>
      <u/>
      <sz val="11"/>
      <color theme="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CC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3" fillId="4" borderId="6" applyNumberFormat="0" applyFont="0" applyAlignment="0" applyProtection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5" fillId="3" borderId="0" xfId="2" applyFont="1"/>
    <xf numFmtId="0" fontId="1" fillId="4" borderId="6" xfId="3" applyFont="1"/>
    <xf numFmtId="0" fontId="0" fillId="4" borderId="6" xfId="3" applyFont="1"/>
    <xf numFmtId="11" fontId="0" fillId="4" borderId="6" xfId="3" applyNumberFormat="1" applyFont="1"/>
    <xf numFmtId="11" fontId="6" fillId="0" borderId="0" xfId="0" applyNumberFormat="1" applyFont="1"/>
    <xf numFmtId="11" fontId="8" fillId="0" borderId="0" xfId="0" applyNumberFormat="1" applyFont="1"/>
    <xf numFmtId="11" fontId="9" fillId="0" borderId="0" xfId="0" applyNumberFormat="1" applyFont="1"/>
    <xf numFmtId="11" fontId="8" fillId="0" borderId="9" xfId="0" applyNumberFormat="1" applyFont="1" applyBorder="1"/>
    <xf numFmtId="11" fontId="8" fillId="0" borderId="5" xfId="0" applyNumberFormat="1" applyFont="1" applyBorder="1"/>
    <xf numFmtId="11" fontId="8" fillId="0" borderId="10" xfId="0" applyNumberFormat="1" applyFont="1" applyBorder="1"/>
    <xf numFmtId="11" fontId="8" fillId="0" borderId="11" xfId="0" applyNumberFormat="1" applyFont="1" applyBorder="1"/>
    <xf numFmtId="11" fontId="8" fillId="0" borderId="12" xfId="0" applyNumberFormat="1" applyFont="1" applyBorder="1"/>
    <xf numFmtId="11" fontId="8" fillId="0" borderId="13" xfId="0" applyNumberFormat="1" applyFont="1" applyBorder="1"/>
    <xf numFmtId="11" fontId="8" fillId="4" borderId="6" xfId="3" applyNumberFormat="1" applyFont="1"/>
    <xf numFmtId="11" fontId="8" fillId="0" borderId="5" xfId="0" applyNumberFormat="1" applyFont="1" applyFill="1" applyBorder="1"/>
    <xf numFmtId="49" fontId="5" fillId="3" borderId="1" xfId="2" applyNumberFormat="1" applyFont="1" applyBorder="1"/>
    <xf numFmtId="49" fontId="5" fillId="3" borderId="5" xfId="2" applyNumberFormat="1" applyFont="1" applyBorder="1"/>
    <xf numFmtId="49" fontId="5" fillId="3" borderId="2" xfId="2" applyNumberFormat="1" applyFont="1" applyBorder="1"/>
    <xf numFmtId="49" fontId="5" fillId="3" borderId="3" xfId="2" applyNumberFormat="1" applyFont="1" applyBorder="1"/>
    <xf numFmtId="49" fontId="5" fillId="3" borderId="4" xfId="2" applyNumberFormat="1" applyFont="1" applyBorder="1"/>
    <xf numFmtId="165" fontId="0" fillId="0" borderId="0" xfId="0" applyNumberFormat="1"/>
    <xf numFmtId="166" fontId="0" fillId="0" borderId="0" xfId="0" applyNumberFormat="1"/>
    <xf numFmtId="166" fontId="0" fillId="0" borderId="2" xfId="0" applyNumberFormat="1" applyBorder="1"/>
    <xf numFmtId="11" fontId="6" fillId="0" borderId="8" xfId="0" applyNumberFormat="1" applyFont="1" applyBorder="1"/>
    <xf numFmtId="11" fontId="13" fillId="0" borderId="7" xfId="0" applyNumberFormat="1" applyFont="1" applyBorder="1"/>
    <xf numFmtId="11" fontId="14" fillId="2" borderId="0" xfId="1" applyNumberFormat="1" applyFont="1"/>
    <xf numFmtId="11" fontId="6" fillId="0" borderId="14" xfId="0" applyNumberFormat="1" applyFont="1" applyBorder="1"/>
    <xf numFmtId="11" fontId="6" fillId="0" borderId="5" xfId="0" applyNumberFormat="1" applyFont="1" applyBorder="1"/>
    <xf numFmtId="0" fontId="15" fillId="0" borderId="0" xfId="0" applyFont="1"/>
    <xf numFmtId="0" fontId="16" fillId="3" borderId="0" xfId="2" applyFont="1"/>
    <xf numFmtId="0" fontId="17" fillId="0" borderId="0" xfId="4" applyFont="1"/>
    <xf numFmtId="0" fontId="18" fillId="0" borderId="0" xfId="0" applyFont="1"/>
    <xf numFmtId="0" fontId="19" fillId="0" borderId="0" xfId="0" applyFont="1"/>
    <xf numFmtId="0" fontId="11" fillId="0" borderId="0" xfId="0" applyFont="1"/>
    <xf numFmtId="0" fontId="10" fillId="0" borderId="0" xfId="0" applyFont="1"/>
    <xf numFmtId="0" fontId="21" fillId="0" borderId="0" xfId="0" applyFont="1"/>
    <xf numFmtId="11" fontId="13" fillId="0" borderId="15" xfId="0" applyNumberFormat="1" applyFont="1" applyBorder="1"/>
    <xf numFmtId="0" fontId="10" fillId="0" borderId="15" xfId="0" applyFont="1" applyBorder="1"/>
    <xf numFmtId="0" fontId="20" fillId="0" borderId="15" xfId="0" applyFont="1" applyBorder="1" applyAlignment="1">
      <alignment horizontal="center"/>
    </xf>
    <xf numFmtId="0" fontId="13" fillId="0" borderId="15" xfId="0" applyFont="1" applyBorder="1"/>
  </cellXfs>
  <cellStyles count="5">
    <cellStyle name="Bad" xfId="1" builtinId="27"/>
    <cellStyle name="Good" xfId="2" builtinId="26"/>
    <cellStyle name="Hyperlink" xfId="4" builtinId="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123826</xdr:rowOff>
    </xdr:from>
    <xdr:to>
      <xdr:col>24</xdr:col>
      <xdr:colOff>600075</xdr:colOff>
      <xdr:row>22</xdr:row>
      <xdr:rowOff>104776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3A2EC8-357B-4DB3-BEB2-444C4C16F730}"/>
            </a:ext>
          </a:extLst>
        </xdr:cNvPr>
        <xdr:cNvSpPr txBox="1"/>
      </xdr:nvSpPr>
      <xdr:spPr>
        <a:xfrm>
          <a:off x="809625" y="123826"/>
          <a:ext cx="14420850" cy="417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 comprehensive kinetic modeling of oxymethylene ethers (OMEn, n=1-3) oxidation - laminar flame speed and ignition delay time measurements</a:t>
          </a:r>
          <a:endParaRPr lang="en-US" sz="18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en-US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Krishna P. Shrestha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a,*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Sven Eckart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Simon Drost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Chris Fritsche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Robert Schießl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Lars Seidel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Ulrich Maas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Hartmut Krause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Fabian Mauss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</a:t>
          </a:r>
          <a:endParaRPr lang="en-US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</a:t>
          </a:r>
          <a:r>
            <a:rPr lang="en-US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Thermodynamics and Thermal Process Engineering, Brandenburg University of Technology, Siemens-Halske-Ring 8, 03046 Cottbus, Germany</a:t>
          </a:r>
          <a:endParaRPr lang="en-US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</a:t>
          </a:r>
          <a:r>
            <a:rPr lang="en-US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Institute of Thermal Engineering, TU Bergakademie Freiberg, Freiberg, Germany</a:t>
          </a:r>
          <a:endParaRPr lang="en-US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400" i="1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Karlsruhe Institute of Technology, Institute of Technical Thermodynamics, Engelbert-Arndold-Strasse 4, 76131 Karlsruhe, Germany</a:t>
          </a:r>
          <a:endParaRPr lang="en-US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de-DE" sz="1400" i="1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</a:t>
          </a:r>
          <a:r>
            <a:rPr lang="de-DE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LOGE Deutschland GmbH, Querstraße 48, 03044 Cottbus, Germany</a:t>
          </a:r>
          <a:endParaRPr lang="en-US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*Corresponding authors: </a:t>
          </a:r>
          <a:r>
            <a:rPr lang="en-US" sz="1400" u="sng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shrestha@b-tu.de</a:t>
          </a:r>
          <a:endParaRPr lang="en-US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600" b="0" i="0" u="sng">
              <a:solidFill>
                <a:schemeClr val="accen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https://doi.org/10.1016/j.combustflame.2022.112426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</a:br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br>
            <a:rPr lang="en-US" sz="1800" b="1" i="1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800" b="1" i="1">
              <a:latin typeface="Times New Roman" panose="02020603050405020304" pitchFamily="18" charset="0"/>
              <a:cs typeface="Times New Roman" panose="02020603050405020304" pitchFamily="18" charset="0"/>
            </a:rPr>
            <a:t>In this sheet</a:t>
          </a:r>
          <a:r>
            <a:rPr lang="en-US" sz="1800" b="1" i="1" baseline="0">
              <a:latin typeface="Times New Roman" panose="02020603050405020304" pitchFamily="18" charset="0"/>
              <a:cs typeface="Times New Roman" panose="02020603050405020304" pitchFamily="18" charset="0"/>
            </a:rPr>
            <a:t> measured Laminar flame speed and ignition delay time can be found. </a:t>
          </a:r>
          <a:endParaRPr lang="en-US" sz="1800" b="1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190499</xdr:colOff>
      <xdr:row>1</xdr:row>
      <xdr:rowOff>161926</xdr:rowOff>
    </xdr:from>
    <xdr:to>
      <xdr:col>26</xdr:col>
      <xdr:colOff>352424</xdr:colOff>
      <xdr:row>3</xdr:row>
      <xdr:rowOff>123826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4AEFAB-F1D4-4B9B-8019-B4A2EAA112C7}"/>
            </a:ext>
          </a:extLst>
        </xdr:cNvPr>
        <xdr:cNvSpPr txBox="1"/>
      </xdr:nvSpPr>
      <xdr:spPr>
        <a:xfrm>
          <a:off x="11506199" y="409576"/>
          <a:ext cx="564832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Measured Laminar flame speed in Constant Volume Chamber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409575</xdr:colOff>
      <xdr:row>1</xdr:row>
      <xdr:rowOff>38100</xdr:rowOff>
    </xdr:from>
    <xdr:to>
      <xdr:col>22</xdr:col>
      <xdr:colOff>266700</xdr:colOff>
      <xdr:row>10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FF0A6C-6F72-4E9D-AED7-18B4C21C6B5D}"/>
            </a:ext>
          </a:extLst>
        </xdr:cNvPr>
        <xdr:cNvSpPr txBox="1"/>
      </xdr:nvSpPr>
      <xdr:spPr>
        <a:xfrm>
          <a:off x="8505825" y="228600"/>
          <a:ext cx="6562725" cy="1781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Non reactive Volume Profiles for</a:t>
          </a:r>
          <a:r>
            <a:rPr lang="en-US" sz="1400" b="1" baseline="0"/>
            <a:t> OME2 and OME3 for same phi and pressure are same. It was tested two times experimentally. </a:t>
          </a:r>
        </a:p>
        <a:p>
          <a:endParaRPr lang="en-US" sz="1400" b="1" baseline="0"/>
        </a:p>
        <a:p>
          <a:r>
            <a:rPr lang="en-US" sz="1400" b="1" baseline="0"/>
            <a:t>These volume profiles are used for simulation.</a:t>
          </a:r>
          <a:endParaRPr 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fuel.2021.120754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0553E-D42B-4673-83C3-3238C185D653}">
  <sheetPr>
    <tabColor theme="9" tint="-0.249977111117893"/>
  </sheetPr>
  <dimension ref="A1"/>
  <sheetViews>
    <sheetView tabSelected="1" workbookViewId="0">
      <selection activeCell="Z13" sqref="Z13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874E-CC6E-46F9-9F16-093740B1710C}">
  <sheetPr>
    <tabColor rgb="FFFF0000"/>
  </sheetPr>
  <dimension ref="A1:S33"/>
  <sheetViews>
    <sheetView workbookViewId="0">
      <selection activeCell="W9" sqref="W9"/>
    </sheetView>
  </sheetViews>
  <sheetFormatPr defaultColWidth="9.140625" defaultRowHeight="15"/>
  <cols>
    <col min="1" max="2" width="9.140625" style="6"/>
    <col min="3" max="4" width="9.5703125" style="6" bestFit="1" customWidth="1"/>
    <col min="5" max="5" width="11.85546875" style="6" customWidth="1"/>
    <col min="6" max="7" width="9.5703125" style="6" bestFit="1" customWidth="1"/>
    <col min="8" max="8" width="11.85546875" style="6" customWidth="1"/>
    <col min="9" max="11" width="9.140625" style="6"/>
    <col min="12" max="13" width="9.5703125" style="6" bestFit="1" customWidth="1"/>
    <col min="14" max="14" width="11" style="6" customWidth="1"/>
    <col min="15" max="16" width="9.5703125" style="6" bestFit="1" customWidth="1"/>
    <col min="17" max="17" width="12.7109375" style="6" customWidth="1"/>
    <col min="18" max="16384" width="9.140625" style="6"/>
  </cols>
  <sheetData>
    <row r="1" spans="1:19" ht="19.5" thickBot="1">
      <c r="A1" s="33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2" t="s">
        <v>32</v>
      </c>
      <c r="N1" s="12"/>
      <c r="O1" s="12"/>
      <c r="P1" s="12" t="s">
        <v>33</v>
      </c>
      <c r="Q1" s="13"/>
    </row>
    <row r="2" spans="1:19" ht="18.75">
      <c r="B2" s="13"/>
      <c r="C2" s="13"/>
      <c r="D2" s="13"/>
      <c r="E2" s="13"/>
      <c r="F2" s="13"/>
      <c r="G2" s="13"/>
      <c r="H2" s="13"/>
      <c r="I2" s="13"/>
      <c r="J2" s="13"/>
      <c r="K2" s="14" t="s">
        <v>34</v>
      </c>
      <c r="L2" s="32" t="s">
        <v>58</v>
      </c>
      <c r="M2" s="31" t="s">
        <v>57</v>
      </c>
      <c r="N2" s="31" t="s">
        <v>59</v>
      </c>
      <c r="O2" s="32" t="s">
        <v>58</v>
      </c>
      <c r="P2" s="31" t="s">
        <v>57</v>
      </c>
      <c r="Q2" s="34" t="s">
        <v>59</v>
      </c>
      <c r="S2" s="35"/>
    </row>
    <row r="3" spans="1:19" ht="15.75">
      <c r="B3" s="13"/>
      <c r="C3" s="13"/>
      <c r="D3" s="13"/>
      <c r="E3" s="13"/>
      <c r="F3" s="13"/>
      <c r="G3" s="13"/>
      <c r="H3" s="13"/>
      <c r="I3" s="13"/>
      <c r="J3" s="13"/>
      <c r="K3" s="13"/>
      <c r="L3" s="15">
        <v>0.8</v>
      </c>
      <c r="M3" s="16">
        <v>64</v>
      </c>
      <c r="N3" s="16">
        <v>0.36514837167011333</v>
      </c>
      <c r="O3" s="16">
        <v>0.8</v>
      </c>
      <c r="P3" s="16">
        <v>48.383333333333333</v>
      </c>
      <c r="Q3" s="17">
        <v>0.24832774042918748</v>
      </c>
    </row>
    <row r="4" spans="1:19" ht="15.75">
      <c r="B4" s="13"/>
      <c r="C4" s="13"/>
      <c r="D4" s="13"/>
      <c r="E4" s="13"/>
      <c r="F4" s="13"/>
      <c r="G4" s="13"/>
      <c r="H4" s="13"/>
      <c r="I4" s="13"/>
      <c r="J4" s="13"/>
      <c r="K4" s="13"/>
      <c r="L4" s="15">
        <v>0.9</v>
      </c>
      <c r="M4" s="16">
        <v>70.266666666666666</v>
      </c>
      <c r="N4" s="16">
        <v>1.1057425860780909</v>
      </c>
      <c r="O4" s="16">
        <v>0.9</v>
      </c>
      <c r="P4" s="16">
        <v>55.122222222222227</v>
      </c>
      <c r="Q4" s="17">
        <v>1.6604049037642736</v>
      </c>
    </row>
    <row r="5" spans="1:19" ht="15.75">
      <c r="B5" s="13"/>
      <c r="C5" s="13"/>
      <c r="D5" s="13"/>
      <c r="E5" s="13"/>
      <c r="F5" s="13"/>
      <c r="G5" s="13"/>
      <c r="H5" s="13"/>
      <c r="I5" s="13"/>
      <c r="J5" s="13"/>
      <c r="K5" s="13"/>
      <c r="L5" s="15">
        <v>1</v>
      </c>
      <c r="M5" s="16">
        <v>81.666666666666671</v>
      </c>
      <c r="N5" s="16">
        <v>2.073322615192017</v>
      </c>
      <c r="O5" s="16">
        <v>1</v>
      </c>
      <c r="P5" s="16">
        <v>63.9</v>
      </c>
      <c r="Q5" s="17">
        <v>1.4306175822583307</v>
      </c>
    </row>
    <row r="6" spans="1:19" ht="15.75">
      <c r="B6" s="13"/>
      <c r="C6" s="13"/>
      <c r="D6" s="13"/>
      <c r="E6" s="13"/>
      <c r="F6" s="13"/>
      <c r="G6" s="13"/>
      <c r="H6" s="13"/>
      <c r="I6" s="13"/>
      <c r="J6" s="13"/>
      <c r="K6" s="13"/>
      <c r="L6" s="15">
        <v>1.1000000000000001</v>
      </c>
      <c r="M6" s="16">
        <v>85</v>
      </c>
      <c r="N6" s="16">
        <v>1.2987173159185437</v>
      </c>
      <c r="O6" s="16">
        <v>1.1000000000000001</v>
      </c>
      <c r="P6" s="16">
        <v>67.400000000000006</v>
      </c>
      <c r="Q6" s="17">
        <v>0.21602468994692955</v>
      </c>
    </row>
    <row r="7" spans="1:19" ht="15.75">
      <c r="B7" s="13"/>
      <c r="C7" s="13"/>
      <c r="D7" s="13"/>
      <c r="E7" s="13"/>
      <c r="F7" s="13"/>
      <c r="G7" s="13"/>
      <c r="H7" s="13"/>
      <c r="I7" s="13"/>
      <c r="J7" s="13"/>
      <c r="K7" s="13"/>
      <c r="L7" s="15">
        <v>1.2</v>
      </c>
      <c r="M7" s="16">
        <v>82.974999999999994</v>
      </c>
      <c r="N7" s="16">
        <v>0.51881274720911219</v>
      </c>
      <c r="O7" s="16">
        <v>1.2</v>
      </c>
      <c r="P7" s="16">
        <v>66.099999999999994</v>
      </c>
      <c r="Q7" s="17">
        <v>0.23</v>
      </c>
    </row>
    <row r="8" spans="1:19" ht="15.75">
      <c r="B8" s="13"/>
      <c r="C8" s="13"/>
      <c r="D8" s="13"/>
      <c r="E8" s="13"/>
      <c r="F8" s="13"/>
      <c r="G8" s="13"/>
      <c r="H8" s="13"/>
      <c r="I8" s="13"/>
      <c r="J8" s="13"/>
      <c r="K8" s="13"/>
      <c r="L8" s="15">
        <v>1.3</v>
      </c>
      <c r="M8" s="16">
        <v>78.55</v>
      </c>
      <c r="N8" s="16">
        <v>0.42031734043061508</v>
      </c>
      <c r="O8" s="16">
        <v>1.3</v>
      </c>
      <c r="P8" s="16">
        <v>59.866666666666674</v>
      </c>
      <c r="Q8" s="17">
        <v>0.20816659994661338</v>
      </c>
    </row>
    <row r="9" spans="1:19" ht="16.5" thickBot="1">
      <c r="B9" s="13"/>
      <c r="C9" s="13"/>
      <c r="D9" s="13"/>
      <c r="E9" s="13"/>
      <c r="F9" s="13"/>
      <c r="G9" s="13"/>
      <c r="H9" s="13"/>
      <c r="I9" s="13"/>
      <c r="J9" s="13"/>
      <c r="K9" s="13"/>
      <c r="L9" s="18">
        <v>1.4</v>
      </c>
      <c r="M9" s="19">
        <v>77.63333333333334</v>
      </c>
      <c r="N9" s="19">
        <v>1.1846237095944556</v>
      </c>
      <c r="O9" s="19">
        <v>1.4</v>
      </c>
      <c r="P9" s="19">
        <v>57.233333333333327</v>
      </c>
      <c r="Q9" s="20">
        <v>0.83864970836060981</v>
      </c>
    </row>
    <row r="10" spans="1:19" ht="15.75">
      <c r="A10" s="1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19" ht="19.5" thickBot="1">
      <c r="A11" s="33" t="s">
        <v>35</v>
      </c>
      <c r="B11" s="13"/>
      <c r="C11" s="13"/>
      <c r="D11" s="12" t="s">
        <v>33</v>
      </c>
      <c r="E11" s="13"/>
      <c r="F11" s="13"/>
      <c r="G11" s="12" t="s">
        <v>36</v>
      </c>
      <c r="H11" s="13"/>
      <c r="I11" s="13"/>
      <c r="J11" s="13"/>
      <c r="K11" s="13"/>
      <c r="L11" s="13"/>
      <c r="M11" s="12" t="s">
        <v>32</v>
      </c>
      <c r="N11" s="12"/>
      <c r="O11" s="12"/>
      <c r="P11" s="12" t="s">
        <v>33</v>
      </c>
      <c r="Q11" s="13"/>
    </row>
    <row r="12" spans="1:19" ht="18.75">
      <c r="B12" s="14" t="s">
        <v>37</v>
      </c>
      <c r="C12" s="32" t="s">
        <v>58</v>
      </c>
      <c r="D12" s="31" t="s">
        <v>57</v>
      </c>
      <c r="E12" s="31" t="s">
        <v>59</v>
      </c>
      <c r="F12" s="32" t="s">
        <v>58</v>
      </c>
      <c r="G12" s="31" t="s">
        <v>57</v>
      </c>
      <c r="H12" s="31" t="s">
        <v>59</v>
      </c>
      <c r="I12" s="13"/>
      <c r="J12" s="13"/>
      <c r="K12" s="14" t="s">
        <v>34</v>
      </c>
      <c r="L12" s="32" t="s">
        <v>58</v>
      </c>
      <c r="M12" s="31" t="s">
        <v>57</v>
      </c>
      <c r="N12" s="31" t="s">
        <v>59</v>
      </c>
      <c r="O12" s="32" t="s">
        <v>58</v>
      </c>
      <c r="P12" s="31" t="s">
        <v>57</v>
      </c>
      <c r="Q12" s="31" t="s">
        <v>59</v>
      </c>
    </row>
    <row r="13" spans="1:19" ht="15.75">
      <c r="B13" s="13"/>
      <c r="C13" s="15">
        <v>0.8</v>
      </c>
      <c r="D13" s="16">
        <v>43.220000000000006</v>
      </c>
      <c r="E13" s="16">
        <v>0.33466401061362883</v>
      </c>
      <c r="F13" s="16">
        <v>0.8</v>
      </c>
      <c r="G13" s="16">
        <v>35.6</v>
      </c>
      <c r="H13" s="17">
        <v>0.25495097567963726</v>
      </c>
      <c r="I13" s="13"/>
      <c r="J13" s="13"/>
      <c r="K13" s="13"/>
      <c r="L13" s="15">
        <v>0.8</v>
      </c>
      <c r="M13" s="16">
        <v>67.724999999999994</v>
      </c>
      <c r="N13" s="16">
        <v>8.2613053851475744</v>
      </c>
      <c r="O13" s="16">
        <v>0.8</v>
      </c>
      <c r="P13" s="16">
        <v>48.671428571428564</v>
      </c>
      <c r="Q13" s="17">
        <v>6.1518870507930883</v>
      </c>
    </row>
    <row r="14" spans="1:19" ht="15.75">
      <c r="B14" s="13"/>
      <c r="C14" s="15">
        <v>0.9</v>
      </c>
      <c r="D14" s="16">
        <v>51</v>
      </c>
      <c r="E14" s="16">
        <v>0.24494897427831838</v>
      </c>
      <c r="F14" s="16">
        <v>0.9</v>
      </c>
      <c r="G14" s="16">
        <v>42.8</v>
      </c>
      <c r="H14" s="17">
        <v>0.70710678118654757</v>
      </c>
      <c r="I14" s="13"/>
      <c r="J14" s="13"/>
      <c r="K14" s="13"/>
      <c r="L14" s="15">
        <v>0.9</v>
      </c>
      <c r="M14" s="16">
        <v>79.699999999999989</v>
      </c>
      <c r="N14" s="16">
        <v>1.5556349186104066</v>
      </c>
      <c r="O14" s="16">
        <v>0.9</v>
      </c>
      <c r="P14" s="16">
        <v>60.349999999999994</v>
      </c>
      <c r="Q14" s="17">
        <v>0.97833678104365418</v>
      </c>
    </row>
    <row r="15" spans="1:19" ht="15.75">
      <c r="B15" s="13"/>
      <c r="C15" s="15">
        <v>1</v>
      </c>
      <c r="D15" s="16">
        <v>57.08</v>
      </c>
      <c r="E15" s="16">
        <v>0.25884358211089459</v>
      </c>
      <c r="F15" s="16">
        <v>1</v>
      </c>
      <c r="G15" s="16">
        <v>48.866666666666667</v>
      </c>
      <c r="H15" s="17">
        <v>0.25166114784235816</v>
      </c>
      <c r="I15" s="13"/>
      <c r="J15" s="13"/>
      <c r="K15" s="13"/>
      <c r="L15" s="15">
        <v>1</v>
      </c>
      <c r="M15" s="16">
        <v>83.1</v>
      </c>
      <c r="N15" s="16">
        <v>1.6077935190813541</v>
      </c>
      <c r="O15" s="16">
        <v>1</v>
      </c>
      <c r="P15" s="16">
        <v>65.842857142857156</v>
      </c>
      <c r="Q15" s="17">
        <v>0.30472470011002245</v>
      </c>
    </row>
    <row r="16" spans="1:19" ht="15.75">
      <c r="B16" s="13"/>
      <c r="C16" s="15">
        <v>1.1000000000000001</v>
      </c>
      <c r="D16" s="16">
        <v>59.219999999999992</v>
      </c>
      <c r="E16" s="16">
        <v>1.3608820668963202</v>
      </c>
      <c r="F16" s="16">
        <v>1.1000000000000001</v>
      </c>
      <c r="G16" s="16">
        <v>53.599999999999994</v>
      </c>
      <c r="H16" s="17">
        <v>0.28284271247461801</v>
      </c>
      <c r="I16" s="13"/>
      <c r="J16" s="13"/>
      <c r="K16" s="13"/>
      <c r="L16" s="15">
        <v>1.1000000000000001</v>
      </c>
      <c r="M16" s="16">
        <v>87.183333333333337</v>
      </c>
      <c r="N16" s="16">
        <v>1.8914720898460731</v>
      </c>
      <c r="O16" s="16">
        <v>1.1000000000000001</v>
      </c>
      <c r="P16" s="16">
        <v>71.016666666666666</v>
      </c>
      <c r="Q16" s="17">
        <v>1.528942989998864</v>
      </c>
    </row>
    <row r="17" spans="1:17" ht="15.75">
      <c r="B17" s="13"/>
      <c r="C17" s="15">
        <v>1.2</v>
      </c>
      <c r="D17" s="16">
        <v>56.919999999999995</v>
      </c>
      <c r="E17" s="16">
        <v>2.5926820090400593</v>
      </c>
      <c r="F17" s="16"/>
      <c r="G17" s="16"/>
      <c r="H17" s="17"/>
      <c r="I17" s="13"/>
      <c r="J17" s="13"/>
      <c r="K17" s="13"/>
      <c r="L17" s="15">
        <v>1.2</v>
      </c>
      <c r="M17" s="16">
        <v>91.357142857142861</v>
      </c>
      <c r="N17" s="16">
        <v>1.8256114435599768</v>
      </c>
      <c r="O17" s="16">
        <v>1.2</v>
      </c>
      <c r="P17" s="16">
        <v>71.275000000000006</v>
      </c>
      <c r="Q17" s="17">
        <v>0.26299556396765644</v>
      </c>
    </row>
    <row r="18" spans="1:17" ht="15.75">
      <c r="B18" s="13"/>
      <c r="C18" s="15">
        <v>1.3</v>
      </c>
      <c r="D18" s="16">
        <v>54.233333333333327</v>
      </c>
      <c r="E18" s="16">
        <v>3.3650160970392622</v>
      </c>
      <c r="F18" s="16"/>
      <c r="G18" s="16"/>
      <c r="H18" s="17"/>
      <c r="I18" s="13"/>
      <c r="J18" s="13"/>
      <c r="K18" s="13"/>
      <c r="L18" s="15">
        <v>1.3</v>
      </c>
      <c r="M18" s="16">
        <v>86.416666666666671</v>
      </c>
      <c r="N18" s="16">
        <v>2.155380863482522</v>
      </c>
      <c r="O18" s="16">
        <v>1.3</v>
      </c>
      <c r="P18" s="16">
        <v>66.971428571428575</v>
      </c>
      <c r="Q18" s="17">
        <v>1.3350584078537358</v>
      </c>
    </row>
    <row r="19" spans="1:17" ht="16.5" thickBot="1">
      <c r="B19" s="13"/>
      <c r="C19" s="18">
        <v>1.4</v>
      </c>
      <c r="D19" s="19">
        <v>48.08</v>
      </c>
      <c r="E19" s="19">
        <v>1.38</v>
      </c>
      <c r="F19" s="19"/>
      <c r="G19" s="19"/>
      <c r="H19" s="20"/>
      <c r="I19" s="13"/>
      <c r="J19" s="13"/>
      <c r="K19" s="13"/>
      <c r="L19" s="18">
        <v>1.4</v>
      </c>
      <c r="M19" s="19">
        <v>73.625</v>
      </c>
      <c r="N19" s="19">
        <v>4.8506872365332594</v>
      </c>
      <c r="O19" s="19">
        <v>1.4</v>
      </c>
      <c r="P19" s="19">
        <v>55.31666666666667</v>
      </c>
      <c r="Q19" s="20">
        <v>3.7642617691476583</v>
      </c>
    </row>
    <row r="20" spans="1:17" ht="15.7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ht="15.75">
      <c r="A21" s="1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ht="19.5" thickBot="1">
      <c r="A22" s="33" t="s">
        <v>38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2" t="s">
        <v>32</v>
      </c>
      <c r="N22" s="12"/>
      <c r="O22" s="12"/>
      <c r="P22" s="12" t="s">
        <v>33</v>
      </c>
      <c r="Q22" s="13"/>
    </row>
    <row r="23" spans="1:17" ht="18.75">
      <c r="B23" s="13"/>
      <c r="C23" s="13"/>
      <c r="D23" s="13"/>
      <c r="E23" s="13"/>
      <c r="F23" s="13"/>
      <c r="G23" s="13"/>
      <c r="H23" s="13"/>
      <c r="I23" s="13"/>
      <c r="J23" s="13"/>
      <c r="K23" s="14" t="s">
        <v>34</v>
      </c>
      <c r="L23" s="32" t="s">
        <v>58</v>
      </c>
      <c r="M23" s="31" t="s">
        <v>57</v>
      </c>
      <c r="N23" s="31" t="s">
        <v>59</v>
      </c>
      <c r="O23" s="32" t="s">
        <v>58</v>
      </c>
      <c r="P23" s="31" t="s">
        <v>57</v>
      </c>
      <c r="Q23" s="31" t="s">
        <v>59</v>
      </c>
    </row>
    <row r="24" spans="1:17" ht="15.7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5">
        <v>0.8</v>
      </c>
      <c r="M24" s="16">
        <v>57.166666666666664</v>
      </c>
      <c r="N24" s="16">
        <v>1.7214335111567118</v>
      </c>
      <c r="O24" s="16">
        <v>0.8</v>
      </c>
      <c r="P24" s="16">
        <v>40.799999999999997</v>
      </c>
      <c r="Q24" s="17">
        <v>6.1977078494279096</v>
      </c>
    </row>
    <row r="25" spans="1:17" ht="15.7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5">
        <v>0.9</v>
      </c>
      <c r="M25" s="16">
        <v>73.5</v>
      </c>
      <c r="N25" s="16">
        <v>1.0148891565092217</v>
      </c>
      <c r="O25" s="16">
        <v>0.9</v>
      </c>
      <c r="P25" s="22">
        <v>56</v>
      </c>
      <c r="Q25" s="17">
        <v>1.1446540338210753</v>
      </c>
    </row>
    <row r="26" spans="1:17" ht="15.7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5">
        <v>1</v>
      </c>
      <c r="M26" s="16">
        <v>85.033333333333331</v>
      </c>
      <c r="N26" s="16">
        <v>1.001665280087781</v>
      </c>
      <c r="O26" s="16">
        <v>1</v>
      </c>
      <c r="P26" s="16">
        <v>59.52</v>
      </c>
      <c r="Q26" s="17">
        <v>0.35652789912872623</v>
      </c>
    </row>
    <row r="27" spans="1:17" ht="15.7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5">
        <v>1.1000000000000001</v>
      </c>
      <c r="M27" s="16">
        <v>97.266666666666666</v>
      </c>
      <c r="N27" s="16">
        <v>1.2662279942148418</v>
      </c>
      <c r="O27" s="16">
        <v>1.1000000000000001</v>
      </c>
      <c r="P27" s="22">
        <v>65.2</v>
      </c>
      <c r="Q27" s="17">
        <v>1.7888632982986707</v>
      </c>
    </row>
    <row r="28" spans="1:17" ht="15.7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5">
        <v>1.2</v>
      </c>
      <c r="M28" s="16">
        <v>96.133333333333326</v>
      </c>
      <c r="N28" s="16">
        <v>0.11547005383792679</v>
      </c>
      <c r="O28" s="16">
        <v>1.2</v>
      </c>
      <c r="P28" s="16">
        <v>71.88</v>
      </c>
      <c r="Q28" s="17">
        <v>0.30770480984215803</v>
      </c>
    </row>
    <row r="29" spans="1:17" ht="15.7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5">
        <v>1.3</v>
      </c>
      <c r="M29" s="16">
        <v>91.633333333333326</v>
      </c>
      <c r="N29" s="16">
        <v>0.97125348562223313</v>
      </c>
      <c r="O29" s="16"/>
      <c r="P29" s="16"/>
      <c r="Q29" s="17"/>
    </row>
    <row r="30" spans="1:17" ht="15.7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5">
        <v>1.4</v>
      </c>
      <c r="M30" s="16">
        <v>82.63333333333334</v>
      </c>
      <c r="N30" s="16">
        <v>3.9361728435101</v>
      </c>
      <c r="O30" s="16"/>
      <c r="P30" s="16"/>
      <c r="Q30" s="17"/>
    </row>
    <row r="31" spans="1:17" ht="15.7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5">
        <v>1.5</v>
      </c>
      <c r="M31" s="16">
        <v>68.933333333333323</v>
      </c>
      <c r="N31" s="16">
        <v>2.6727015047201474</v>
      </c>
      <c r="O31" s="16"/>
      <c r="P31" s="16"/>
      <c r="Q31" s="17"/>
    </row>
    <row r="32" spans="1:17" ht="16.5" thickBot="1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8">
        <v>1.6</v>
      </c>
      <c r="M32" s="19">
        <v>67.300000000000011</v>
      </c>
      <c r="N32" s="19">
        <v>0.56568542494923602</v>
      </c>
      <c r="O32" s="19"/>
      <c r="P32" s="19"/>
      <c r="Q32" s="20"/>
    </row>
    <row r="33" spans="1:17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A232-3AC3-415E-9141-5B1F8F18AE23}">
  <dimension ref="B1:K17"/>
  <sheetViews>
    <sheetView workbookViewId="0">
      <selection activeCell="N4" sqref="N4"/>
    </sheetView>
  </sheetViews>
  <sheetFormatPr defaultRowHeight="15"/>
  <cols>
    <col min="1" max="2" width="9.140625" style="36"/>
    <col min="3" max="3" width="17.28515625" style="36" customWidth="1"/>
    <col min="4" max="4" width="15.5703125" style="36" customWidth="1"/>
    <col min="5" max="5" width="16.85546875" style="36" customWidth="1"/>
    <col min="6" max="8" width="9.140625" style="36"/>
    <col min="9" max="9" width="14.42578125" style="36" customWidth="1"/>
    <col min="10" max="16384" width="9.140625" style="36"/>
  </cols>
  <sheetData>
    <row r="1" spans="2:11">
      <c r="C1" s="37" t="s">
        <v>43</v>
      </c>
      <c r="D1" s="37" t="s">
        <v>52</v>
      </c>
      <c r="H1" s="37" t="s">
        <v>51</v>
      </c>
      <c r="I1" s="37"/>
    </row>
    <row r="2" spans="2:11">
      <c r="H2" s="43" t="s">
        <v>44</v>
      </c>
      <c r="I2" s="43"/>
      <c r="K2" s="38" t="s">
        <v>45</v>
      </c>
    </row>
    <row r="3" spans="2:11" ht="15.75">
      <c r="C3" s="39" t="s">
        <v>42</v>
      </c>
      <c r="D3" s="39" t="s">
        <v>42</v>
      </c>
      <c r="E3" s="39" t="s">
        <v>42</v>
      </c>
      <c r="H3" s="36" t="s">
        <v>46</v>
      </c>
      <c r="K3" s="36" t="s">
        <v>47</v>
      </c>
    </row>
    <row r="4" spans="2:11">
      <c r="C4" s="40" t="s">
        <v>34</v>
      </c>
      <c r="D4" s="40" t="s">
        <v>34</v>
      </c>
      <c r="E4" s="40" t="s">
        <v>34</v>
      </c>
      <c r="H4" s="36" t="s">
        <v>48</v>
      </c>
      <c r="K4" s="36" t="s">
        <v>48</v>
      </c>
    </row>
    <row r="5" spans="2:11">
      <c r="C5" s="40" t="s">
        <v>32</v>
      </c>
      <c r="D5" s="40" t="s">
        <v>32</v>
      </c>
      <c r="E5" s="40" t="s">
        <v>32</v>
      </c>
      <c r="H5" s="36" t="s">
        <v>49</v>
      </c>
      <c r="K5" s="36" t="s">
        <v>49</v>
      </c>
    </row>
    <row r="6" spans="2:11" ht="18.75">
      <c r="B6" s="44" t="s">
        <v>58</v>
      </c>
      <c r="C6" s="46" t="s">
        <v>39</v>
      </c>
      <c r="D6" s="46" t="s">
        <v>40</v>
      </c>
      <c r="E6" s="46" t="s">
        <v>41</v>
      </c>
      <c r="H6" s="36" t="s">
        <v>50</v>
      </c>
      <c r="K6" s="36" t="s">
        <v>50</v>
      </c>
    </row>
    <row r="7" spans="2:11" ht="15.75">
      <c r="B7" s="45">
        <v>0.8</v>
      </c>
      <c r="C7" s="45">
        <v>0.17007182191535131</v>
      </c>
      <c r="D7" s="45">
        <v>0.15895926938427965</v>
      </c>
      <c r="E7" s="45">
        <v>0.14244905227111876</v>
      </c>
      <c r="H7" s="36" t="s">
        <v>32</v>
      </c>
      <c r="K7" s="36" t="s">
        <v>32</v>
      </c>
    </row>
    <row r="8" spans="2:11" ht="18.75">
      <c r="B8" s="45">
        <v>0.9</v>
      </c>
      <c r="C8" s="45">
        <v>0.15426328220115162</v>
      </c>
      <c r="D8" s="45">
        <v>0.12829290434726529</v>
      </c>
      <c r="E8" s="45">
        <v>0.11452643007584411</v>
      </c>
      <c r="G8" s="44" t="s">
        <v>58</v>
      </c>
      <c r="H8" s="47" t="s">
        <v>42</v>
      </c>
      <c r="I8" s="41"/>
      <c r="J8" s="44" t="s">
        <v>58</v>
      </c>
      <c r="K8" s="47" t="s">
        <v>42</v>
      </c>
    </row>
    <row r="9" spans="2:11" ht="15.75">
      <c r="B9" s="45">
        <v>1</v>
      </c>
      <c r="C9" s="45">
        <v>0.10256447593463977</v>
      </c>
      <c r="D9" s="45">
        <v>0.11002071730044799</v>
      </c>
      <c r="E9" s="45">
        <v>0.13364705084286627</v>
      </c>
      <c r="G9" s="45">
        <v>0.8</v>
      </c>
      <c r="H9" s="45">
        <v>0.21199999999999999</v>
      </c>
      <c r="I9" s="42"/>
      <c r="J9" s="45">
        <v>0.8</v>
      </c>
      <c r="K9" s="45">
        <v>7.8E-2</v>
      </c>
    </row>
    <row r="10" spans="2:11" ht="15.75">
      <c r="B10" s="45">
        <v>1.1000000000000001</v>
      </c>
      <c r="C10" s="45">
        <v>7.4048407302743521E-2</v>
      </c>
      <c r="D10" s="45">
        <v>9.5158361117715987E-2</v>
      </c>
      <c r="E10" s="45"/>
      <c r="G10" s="45">
        <v>0.9</v>
      </c>
      <c r="H10" s="45">
        <v>0.14200000000000002</v>
      </c>
      <c r="I10" s="42"/>
      <c r="J10" s="45">
        <v>0.9</v>
      </c>
      <c r="K10" s="45">
        <v>7.1999999999999995E-2</v>
      </c>
    </row>
    <row r="11" spans="2:11" ht="15.75">
      <c r="B11" s="45">
        <v>1.2</v>
      </c>
      <c r="C11" s="45">
        <v>5.5966118759692214E-2</v>
      </c>
      <c r="D11" s="45">
        <v>5.6030709273172392E-2</v>
      </c>
      <c r="E11" s="45">
        <v>0.10132674657981892</v>
      </c>
      <c r="G11" s="45">
        <v>1</v>
      </c>
      <c r="H11" s="45">
        <v>9.2999999999999999E-2</v>
      </c>
      <c r="I11" s="42"/>
      <c r="J11" s="45">
        <v>1</v>
      </c>
      <c r="K11" s="45">
        <v>5.6000000000000001E-2</v>
      </c>
    </row>
    <row r="12" spans="2:11" ht="15.75">
      <c r="B12" s="45">
        <v>1.3</v>
      </c>
      <c r="C12" s="45">
        <v>2.5291509374028302E-2</v>
      </c>
      <c r="D12" s="45">
        <v>4.4234495659119591E-2</v>
      </c>
      <c r="E12" s="45"/>
      <c r="G12" s="45">
        <v>1.1000000000000001</v>
      </c>
      <c r="H12" s="45">
        <v>0.10800000000000001</v>
      </c>
      <c r="I12" s="42"/>
      <c r="J12" s="45">
        <v>1.1000000000000001</v>
      </c>
      <c r="K12" s="45">
        <v>4.2999999999999997E-2</v>
      </c>
    </row>
    <row r="13" spans="2:11" ht="15.75">
      <c r="B13" s="45">
        <v>1.4</v>
      </c>
      <c r="C13" s="45">
        <v>1.2763508474377303E-2</v>
      </c>
      <c r="D13" s="45">
        <v>-1.7063886385156136E-2</v>
      </c>
      <c r="E13" s="45">
        <v>5.0290066459929728E-2</v>
      </c>
      <c r="G13" s="45">
        <v>1.2</v>
      </c>
      <c r="H13" s="45">
        <v>6.9000000000000006E-2</v>
      </c>
      <c r="I13" s="42"/>
      <c r="J13" s="45">
        <v>1.2</v>
      </c>
      <c r="K13" s="45">
        <v>2.1999999999999999E-2</v>
      </c>
    </row>
    <row r="14" spans="2:11" ht="15.75">
      <c r="B14" s="45">
        <v>1.6</v>
      </c>
      <c r="C14" s="45"/>
      <c r="D14" s="45"/>
      <c r="E14" s="45">
        <v>-1.2025496124665541E-3</v>
      </c>
      <c r="G14" s="45">
        <v>1.3</v>
      </c>
      <c r="H14" s="45">
        <v>5.4000000000000006E-2</v>
      </c>
      <c r="I14" s="42"/>
      <c r="J14" s="45">
        <v>1.3</v>
      </c>
      <c r="K14" s="45">
        <v>5.0000000000000001E-3</v>
      </c>
    </row>
    <row r="15" spans="2:11" ht="15.75">
      <c r="B15" s="42"/>
      <c r="C15" s="42"/>
      <c r="D15" s="42"/>
      <c r="E15" s="42"/>
      <c r="G15" s="45">
        <v>1.4</v>
      </c>
      <c r="H15" s="45">
        <v>3.7999999999999999E-2</v>
      </c>
      <c r="I15" s="42"/>
      <c r="J15" s="45">
        <v>1.4</v>
      </c>
      <c r="K15" s="45">
        <v>-4.3999999999999997E-2</v>
      </c>
    </row>
    <row r="16" spans="2:11" ht="15.75">
      <c r="G16" s="45">
        <v>1.5</v>
      </c>
      <c r="H16" s="45">
        <v>-2.2000000000000002E-2</v>
      </c>
      <c r="I16" s="42"/>
      <c r="J16" s="45">
        <v>1.5</v>
      </c>
      <c r="K16" s="45">
        <v>-6.2E-2</v>
      </c>
    </row>
    <row r="17" spans="7:11" ht="15.75">
      <c r="G17" s="45">
        <v>1.6</v>
      </c>
      <c r="H17" s="45">
        <v>-3.1E-2</v>
      </c>
      <c r="I17" s="42"/>
      <c r="J17" s="45">
        <v>1.6</v>
      </c>
      <c r="K17" s="45">
        <v>-9.1999999999999998E-2</v>
      </c>
    </row>
  </sheetData>
  <hyperlinks>
    <hyperlink ref="K2" r:id="rId1" tooltip="Persistent link using digital object identifier" display="https://doi.org/10.1016/j.fuel.2021.120754" xr:uid="{137989BD-6F55-4443-88C1-A5360063F38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T6"/>
  <sheetViews>
    <sheetView workbookViewId="0">
      <selection activeCell="R2" sqref="R2"/>
    </sheetView>
  </sheetViews>
  <sheetFormatPr defaultRowHeight="15"/>
  <cols>
    <col min="2" max="2" width="10.85546875" customWidth="1"/>
    <col min="3" max="3" width="9.7109375" customWidth="1"/>
    <col min="4" max="4" width="13.85546875" customWidth="1"/>
    <col min="5" max="5" width="13.28515625" customWidth="1"/>
    <col min="6" max="6" width="10.42578125" customWidth="1"/>
    <col min="7" max="7" width="11.7109375" customWidth="1"/>
    <col min="8" max="8" width="15.140625" customWidth="1"/>
    <col min="9" max="9" width="14" customWidth="1"/>
    <col min="10" max="10" width="19.7109375" customWidth="1"/>
    <col min="11" max="11" width="26.7109375" customWidth="1"/>
    <col min="12" max="12" width="9.140625" customWidth="1"/>
    <col min="13" max="13" width="10.140625" customWidth="1"/>
    <col min="18" max="20" width="9.5703125" bestFit="1" customWidth="1"/>
  </cols>
  <sheetData>
    <row r="1" spans="1:20">
      <c r="A1" s="8" t="s">
        <v>19</v>
      </c>
      <c r="B1" s="23" t="s">
        <v>0</v>
      </c>
      <c r="C1" s="23" t="s">
        <v>1</v>
      </c>
      <c r="D1" s="8" t="s">
        <v>53</v>
      </c>
      <c r="E1" s="8" t="s">
        <v>54</v>
      </c>
      <c r="F1" s="23" t="s">
        <v>2</v>
      </c>
      <c r="G1" s="23" t="s">
        <v>3</v>
      </c>
      <c r="H1" s="8" t="s">
        <v>55</v>
      </c>
      <c r="I1" s="8" t="s">
        <v>56</v>
      </c>
      <c r="J1" s="23" t="s">
        <v>4</v>
      </c>
      <c r="K1" s="23" t="s">
        <v>6</v>
      </c>
      <c r="L1" s="23" t="s">
        <v>8</v>
      </c>
      <c r="M1" s="23" t="s">
        <v>9</v>
      </c>
      <c r="N1" s="8"/>
      <c r="O1" s="24" t="s">
        <v>17</v>
      </c>
      <c r="P1" s="24" t="s">
        <v>18</v>
      </c>
      <c r="R1" s="5"/>
      <c r="S1" s="5"/>
      <c r="T1" s="5"/>
    </row>
    <row r="2" spans="1:20">
      <c r="A2">
        <v>1</v>
      </c>
      <c r="B2" s="7">
        <v>100190</v>
      </c>
      <c r="C2">
        <v>1498630.0000000002</v>
      </c>
      <c r="D2">
        <v>1491136.8500000003</v>
      </c>
      <c r="E2">
        <v>1506123.1500000001</v>
      </c>
      <c r="F2" s="7">
        <v>351.9</v>
      </c>
      <c r="G2">
        <v>680.98383961503248</v>
      </c>
      <c r="H2">
        <v>676.32101951496884</v>
      </c>
      <c r="I2">
        <v>685.64174242961201</v>
      </c>
      <c r="J2" s="1" t="s">
        <v>5</v>
      </c>
      <c r="K2" s="1" t="s">
        <v>7</v>
      </c>
      <c r="L2">
        <v>0.5</v>
      </c>
      <c r="M2">
        <v>7.4499999999999983E-3</v>
      </c>
      <c r="O2">
        <f>1000/G2</f>
        <v>1.4684636283958086</v>
      </c>
      <c r="P2">
        <f>M2*1000</f>
        <v>7.4499999999999984</v>
      </c>
      <c r="R2" s="7"/>
      <c r="S2" s="7"/>
      <c r="T2" s="7"/>
    </row>
    <row r="3" spans="1:20">
      <c r="A3">
        <v>2</v>
      </c>
      <c r="B3" s="7">
        <v>100670</v>
      </c>
      <c r="C3">
        <v>1518638</v>
      </c>
      <c r="D3">
        <v>1511044.8099999998</v>
      </c>
      <c r="E3">
        <v>1526231.1900000002</v>
      </c>
      <c r="F3" s="7">
        <v>339.3</v>
      </c>
      <c r="G3">
        <v>659.93624307689311</v>
      </c>
      <c r="H3">
        <v>655.4107224306789</v>
      </c>
      <c r="I3">
        <v>664.45713670263842</v>
      </c>
      <c r="J3" s="1" t="s">
        <v>5</v>
      </c>
      <c r="K3" s="1" t="s">
        <v>7</v>
      </c>
      <c r="L3">
        <v>0.5</v>
      </c>
      <c r="M3">
        <v>1.7650000000000006E-2</v>
      </c>
      <c r="O3">
        <f t="shared" ref="O3:O6" si="0">1000/G3</f>
        <v>1.5152978950475433</v>
      </c>
      <c r="P3">
        <f t="shared" ref="P3:P6" si="1">M3*1000</f>
        <v>17.650000000000006</v>
      </c>
      <c r="R3" s="7"/>
      <c r="S3" s="7"/>
      <c r="T3" s="7"/>
    </row>
    <row r="4" spans="1:20">
      <c r="A4">
        <v>3</v>
      </c>
      <c r="B4" s="7">
        <v>99978</v>
      </c>
      <c r="C4">
        <v>1508166.0000000002</v>
      </c>
      <c r="D4">
        <v>1500625.1700000004</v>
      </c>
      <c r="E4">
        <v>1515706.83</v>
      </c>
      <c r="F4" s="7">
        <v>339.51</v>
      </c>
      <c r="G4">
        <v>660.34922099829259</v>
      </c>
      <c r="H4">
        <v>655.82096666687858</v>
      </c>
      <c r="I4">
        <v>664.87284433886907</v>
      </c>
      <c r="J4" s="1" t="s">
        <v>5</v>
      </c>
      <c r="K4" s="1" t="s">
        <v>7</v>
      </c>
      <c r="L4">
        <v>0.5</v>
      </c>
      <c r="M4">
        <v>1.6250000000000007E-2</v>
      </c>
      <c r="O4">
        <f t="shared" si="0"/>
        <v>1.5143502380274416</v>
      </c>
      <c r="P4">
        <f t="shared" si="1"/>
        <v>16.250000000000007</v>
      </c>
      <c r="R4" s="7"/>
      <c r="S4" s="7"/>
      <c r="T4" s="7"/>
    </row>
    <row r="5" spans="1:20">
      <c r="A5">
        <v>4</v>
      </c>
      <c r="B5" s="7">
        <v>100190</v>
      </c>
      <c r="C5">
        <v>1512310</v>
      </c>
      <c r="D5">
        <v>1504748.45</v>
      </c>
      <c r="E5">
        <v>1519871.55</v>
      </c>
      <c r="F5" s="7">
        <v>339.76</v>
      </c>
      <c r="G5">
        <v>661.01368162023687</v>
      </c>
      <c r="H5">
        <v>656.4810521093674</v>
      </c>
      <c r="I5">
        <v>665.54167511675007</v>
      </c>
      <c r="J5" s="1" t="s">
        <v>5</v>
      </c>
      <c r="K5" s="1" t="s">
        <v>7</v>
      </c>
      <c r="L5">
        <v>0.5</v>
      </c>
      <c r="M5">
        <v>1.5849999999999996E-2</v>
      </c>
      <c r="O5">
        <f t="shared" si="0"/>
        <v>1.5128279910165556</v>
      </c>
      <c r="P5">
        <f t="shared" si="1"/>
        <v>15.849999999999996</v>
      </c>
      <c r="R5" s="7"/>
      <c r="S5" s="7"/>
      <c r="T5" s="7"/>
    </row>
    <row r="6" spans="1:20">
      <c r="A6">
        <v>5</v>
      </c>
      <c r="B6" s="7">
        <v>100030</v>
      </c>
      <c r="C6">
        <v>1508238</v>
      </c>
      <c r="D6">
        <v>1500696.81</v>
      </c>
      <c r="E6">
        <v>1515779.19</v>
      </c>
      <c r="F6" s="7">
        <v>340.01</v>
      </c>
      <c r="G6">
        <v>661.14903616043352</v>
      </c>
      <c r="H6">
        <v>656.61555938709284</v>
      </c>
      <c r="I6">
        <v>665.67787011742882</v>
      </c>
      <c r="J6" s="1" t="s">
        <v>5</v>
      </c>
      <c r="K6" s="1" t="s">
        <v>7</v>
      </c>
      <c r="L6">
        <v>0.5</v>
      </c>
      <c r="M6">
        <v>1.5049999999999994E-2</v>
      </c>
      <c r="O6">
        <f t="shared" si="0"/>
        <v>1.5125182754669273</v>
      </c>
      <c r="P6">
        <f t="shared" si="1"/>
        <v>15.049999999999994</v>
      </c>
      <c r="R6" s="7"/>
      <c r="S6" s="7"/>
      <c r="T6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U17"/>
  <sheetViews>
    <sheetView workbookViewId="0"/>
  </sheetViews>
  <sheetFormatPr defaultRowHeight="15"/>
  <cols>
    <col min="1" max="1" width="12.5703125" bestFit="1" customWidth="1"/>
    <col min="2" max="2" width="7.140625" customWidth="1"/>
    <col min="3" max="3" width="12.5703125" customWidth="1"/>
    <col min="4" max="4" width="15.28515625" customWidth="1"/>
    <col min="5" max="5" width="14.85546875" customWidth="1"/>
    <col min="6" max="6" width="8.7109375" customWidth="1"/>
    <col min="7" max="7" width="15.85546875" customWidth="1"/>
    <col min="8" max="8" width="14.85546875" customWidth="1"/>
    <col min="9" max="9" width="13.85546875" customWidth="1"/>
    <col min="10" max="10" width="25" customWidth="1"/>
    <col min="11" max="11" width="26.7109375" customWidth="1"/>
    <col min="12" max="12" width="9.7109375" customWidth="1"/>
    <col min="13" max="13" width="8.42578125" customWidth="1"/>
    <col min="15" max="16" width="12.5703125" bestFit="1" customWidth="1"/>
    <col min="18" max="21" width="12.5703125" bestFit="1" customWidth="1"/>
  </cols>
  <sheetData>
    <row r="1" spans="1:21">
      <c r="A1" s="8" t="s">
        <v>19</v>
      </c>
      <c r="B1" s="25" t="s">
        <v>0</v>
      </c>
      <c r="C1" s="25" t="s">
        <v>1</v>
      </c>
      <c r="D1" s="8" t="s">
        <v>53</v>
      </c>
      <c r="E1" s="8" t="s">
        <v>54</v>
      </c>
      <c r="F1" s="25" t="s">
        <v>2</v>
      </c>
      <c r="G1" s="25" t="s">
        <v>3</v>
      </c>
      <c r="H1" s="8" t="s">
        <v>55</v>
      </c>
      <c r="I1" s="8" t="s">
        <v>56</v>
      </c>
      <c r="J1" s="25" t="s">
        <v>4</v>
      </c>
      <c r="K1" s="25" t="s">
        <v>6</v>
      </c>
      <c r="L1" s="25" t="s">
        <v>8</v>
      </c>
      <c r="M1" s="25" t="s">
        <v>9</v>
      </c>
      <c r="N1" s="8"/>
      <c r="O1" s="24" t="s">
        <v>17</v>
      </c>
      <c r="P1" s="24" t="s">
        <v>18</v>
      </c>
    </row>
    <row r="2" spans="1:21">
      <c r="A2">
        <v>1</v>
      </c>
      <c r="B2">
        <v>109830</v>
      </c>
      <c r="C2">
        <v>1478983.12</v>
      </c>
      <c r="D2" s="28">
        <v>1471588.2044000002</v>
      </c>
      <c r="E2" s="28">
        <v>1486378.0356000001</v>
      </c>
      <c r="F2">
        <v>370.84</v>
      </c>
      <c r="G2">
        <v>599.11032206638129</v>
      </c>
      <c r="H2" s="28">
        <v>595.08720814674632</v>
      </c>
      <c r="I2" s="28">
        <v>603.13215468278509</v>
      </c>
      <c r="J2" s="2" t="s">
        <v>10</v>
      </c>
      <c r="K2" s="2" t="s">
        <v>11</v>
      </c>
      <c r="L2">
        <v>1.9999742002063983</v>
      </c>
      <c r="M2">
        <v>4.7850000000000004E-2</v>
      </c>
      <c r="O2">
        <f>1000/G2</f>
        <v>1.6691416641778378</v>
      </c>
      <c r="P2">
        <f>M2*1000</f>
        <v>47.85</v>
      </c>
      <c r="T2" s="28"/>
      <c r="U2" s="28"/>
    </row>
    <row r="3" spans="1:21">
      <c r="A3">
        <v>2</v>
      </c>
      <c r="B3">
        <v>109680</v>
      </c>
      <c r="C3">
        <v>1478826.24</v>
      </c>
      <c r="D3" s="28">
        <v>1471432.1088</v>
      </c>
      <c r="E3" s="28">
        <v>1486220.3711999999</v>
      </c>
      <c r="F3">
        <v>371.47</v>
      </c>
      <c r="G3">
        <v>600.1221747712832</v>
      </c>
      <c r="H3" s="28">
        <v>596.09179757218988</v>
      </c>
      <c r="I3" s="28">
        <v>604.15126046700993</v>
      </c>
      <c r="J3" s="2" t="s">
        <v>10</v>
      </c>
      <c r="K3" s="2" t="s">
        <v>11</v>
      </c>
      <c r="L3">
        <v>1.9999742002063983</v>
      </c>
      <c r="M3">
        <v>4.7449999999999999E-2</v>
      </c>
      <c r="O3">
        <f t="shared" ref="O3:O5" si="0">1000/G3</f>
        <v>1.6663273613928982</v>
      </c>
      <c r="P3">
        <f t="shared" ref="P3:P5" si="1">M3*1000</f>
        <v>47.449999999999996</v>
      </c>
      <c r="T3" s="28"/>
      <c r="U3" s="28"/>
    </row>
    <row r="4" spans="1:21">
      <c r="A4">
        <v>3</v>
      </c>
      <c r="B4">
        <v>109830</v>
      </c>
      <c r="C4">
        <v>1467269.9999999998</v>
      </c>
      <c r="D4" s="28">
        <v>1459933.65</v>
      </c>
      <c r="E4" s="28">
        <v>1474606.3499999996</v>
      </c>
      <c r="F4">
        <v>394.26</v>
      </c>
      <c r="G4">
        <v>632.11632688861084</v>
      </c>
      <c r="H4" s="28">
        <v>627.85579757954133</v>
      </c>
      <c r="I4" s="28">
        <v>636.37523286135865</v>
      </c>
      <c r="J4" s="2" t="s">
        <v>10</v>
      </c>
      <c r="K4" s="2" t="s">
        <v>11</v>
      </c>
      <c r="L4">
        <v>1.9999742002063983</v>
      </c>
      <c r="M4">
        <v>1.5400000000000004E-2</v>
      </c>
      <c r="O4">
        <f t="shared" si="0"/>
        <v>1.5819872980060143</v>
      </c>
      <c r="P4">
        <f t="shared" si="1"/>
        <v>15.400000000000004</v>
      </c>
      <c r="T4" s="28"/>
      <c r="U4" s="28"/>
    </row>
    <row r="5" spans="1:21">
      <c r="A5">
        <v>4</v>
      </c>
      <c r="B5">
        <v>110520</v>
      </c>
      <c r="C5">
        <v>1473787.9999999998</v>
      </c>
      <c r="D5" s="28">
        <v>1466419.0599999996</v>
      </c>
      <c r="E5" s="28">
        <v>1481156.94</v>
      </c>
      <c r="F5">
        <v>394.54</v>
      </c>
      <c r="G5">
        <v>632.24197019243081</v>
      </c>
      <c r="H5" s="28">
        <v>627.97957337994944</v>
      </c>
      <c r="I5" s="28">
        <v>636.50273970780347</v>
      </c>
      <c r="J5" s="2" t="s">
        <v>10</v>
      </c>
      <c r="K5" s="2" t="s">
        <v>11</v>
      </c>
      <c r="L5">
        <v>1.9999742002063983</v>
      </c>
      <c r="M5">
        <v>1.6199999999999999E-2</v>
      </c>
      <c r="O5">
        <f t="shared" si="0"/>
        <v>1.5816729150322579</v>
      </c>
      <c r="P5">
        <f t="shared" si="1"/>
        <v>16.2</v>
      </c>
      <c r="T5" s="28"/>
      <c r="U5" s="28"/>
    </row>
    <row r="6" spans="1:21">
      <c r="A6">
        <v>5</v>
      </c>
      <c r="B6">
        <v>109930</v>
      </c>
      <c r="C6">
        <v>1467337.9999999998</v>
      </c>
      <c r="D6" s="28">
        <v>1460001.3099999998</v>
      </c>
      <c r="E6" s="28">
        <v>1474674.6899999997</v>
      </c>
      <c r="F6">
        <v>394.43</v>
      </c>
      <c r="G6">
        <v>632.17630959981591</v>
      </c>
      <c r="H6" s="28">
        <v>627.91447741768582</v>
      </c>
      <c r="I6" s="28">
        <v>636.43651467732241</v>
      </c>
      <c r="J6" s="2" t="s">
        <v>10</v>
      </c>
      <c r="K6" s="2" t="s">
        <v>11</v>
      </c>
      <c r="L6">
        <v>1.9999742002063983</v>
      </c>
      <c r="M6">
        <v>1.6499999999999994E-2</v>
      </c>
      <c r="O6">
        <f t="shared" ref="O6:O17" si="2">1000/G6</f>
        <v>1.5818371944893443</v>
      </c>
      <c r="P6">
        <f t="shared" ref="P6:P17" si="3">M6*1000</f>
        <v>16.499999999999993</v>
      </c>
      <c r="T6" s="28"/>
      <c r="U6" s="28"/>
    </row>
    <row r="7" spans="1:21" s="29" customFormat="1">
      <c r="A7" s="29">
        <v>6</v>
      </c>
      <c r="B7" s="29">
        <v>110120</v>
      </c>
      <c r="C7" s="29">
        <v>1475351.9999999998</v>
      </c>
      <c r="D7" s="28">
        <v>1467975.2399999998</v>
      </c>
      <c r="E7" s="28">
        <v>1482728.7599999998</v>
      </c>
      <c r="F7" s="29">
        <v>409.88</v>
      </c>
      <c r="G7" s="29">
        <v>654.88514305135652</v>
      </c>
      <c r="H7" s="28">
        <v>650.46329318719143</v>
      </c>
      <c r="I7" s="28">
        <v>659.3050883811419</v>
      </c>
      <c r="J7" s="30" t="s">
        <v>10</v>
      </c>
      <c r="K7" s="30" t="s">
        <v>11</v>
      </c>
      <c r="L7" s="29">
        <v>1.9999742002063983</v>
      </c>
      <c r="M7" s="29">
        <v>5.9999999999999984E-3</v>
      </c>
      <c r="O7" s="29">
        <f t="shared" si="2"/>
        <v>1.5269853204191248</v>
      </c>
      <c r="P7" s="29">
        <f>M7*1000</f>
        <v>5.9999999999999982</v>
      </c>
      <c r="T7" s="28"/>
      <c r="U7" s="28"/>
    </row>
    <row r="8" spans="1:21">
      <c r="A8">
        <v>7</v>
      </c>
      <c r="B8">
        <v>109809.99999999999</v>
      </c>
      <c r="C8">
        <v>1469198</v>
      </c>
      <c r="D8" s="28">
        <v>1461852.01</v>
      </c>
      <c r="E8" s="28">
        <v>1476543.99</v>
      </c>
      <c r="F8">
        <v>410.23</v>
      </c>
      <c r="G8">
        <v>655.18881451350694</v>
      </c>
      <c r="H8" s="28">
        <v>650.76418705841877</v>
      </c>
      <c r="I8" s="28">
        <v>659.61153132661161</v>
      </c>
      <c r="J8" s="2" t="s">
        <v>10</v>
      </c>
      <c r="K8" s="2" t="s">
        <v>11</v>
      </c>
      <c r="L8">
        <v>1.9999742002063983</v>
      </c>
      <c r="M8">
        <v>6.2499999999999986E-3</v>
      </c>
      <c r="O8">
        <f t="shared" si="2"/>
        <v>1.5262775826576396</v>
      </c>
      <c r="P8">
        <f t="shared" si="3"/>
        <v>6.2499999999999982</v>
      </c>
      <c r="T8" s="28"/>
      <c r="U8" s="28"/>
    </row>
    <row r="9" spans="1:21">
      <c r="A9">
        <v>8</v>
      </c>
      <c r="B9">
        <v>110059.99999999999</v>
      </c>
      <c r="C9">
        <v>1467475.9999999998</v>
      </c>
      <c r="D9" s="28">
        <v>1460138.6199999996</v>
      </c>
      <c r="E9" s="28">
        <v>1474813.38</v>
      </c>
      <c r="F9">
        <v>410.57</v>
      </c>
      <c r="G9">
        <v>655.30193717844088</v>
      </c>
      <c r="H9" s="28">
        <v>650.87589313945625</v>
      </c>
      <c r="I9" s="28">
        <v>659.72607013215406</v>
      </c>
      <c r="J9" s="2" t="s">
        <v>10</v>
      </c>
      <c r="K9" s="2" t="s">
        <v>11</v>
      </c>
      <c r="L9">
        <v>1.9999742002063983</v>
      </c>
      <c r="M9">
        <v>6.3E-3</v>
      </c>
      <c r="O9">
        <f t="shared" si="2"/>
        <v>1.5260141062694534</v>
      </c>
      <c r="P9">
        <f t="shared" si="3"/>
        <v>6.3</v>
      </c>
      <c r="T9" s="28"/>
      <c r="U9" s="28"/>
    </row>
    <row r="10" spans="1:21">
      <c r="A10">
        <v>9</v>
      </c>
      <c r="B10">
        <v>109959.99999999999</v>
      </c>
      <c r="C10">
        <v>1481048</v>
      </c>
      <c r="D10" s="28">
        <v>1473642.76</v>
      </c>
      <c r="E10" s="28">
        <v>1488453.24</v>
      </c>
      <c r="F10">
        <v>379.55</v>
      </c>
      <c r="G10">
        <v>611.69544835589784</v>
      </c>
      <c r="H10" s="28">
        <v>607.58185915741637</v>
      </c>
      <c r="I10" s="28">
        <v>615.80763308579958</v>
      </c>
      <c r="J10" s="2" t="s">
        <v>10</v>
      </c>
      <c r="K10" s="2" t="s">
        <v>11</v>
      </c>
      <c r="L10">
        <v>1.9999742002063983</v>
      </c>
      <c r="M10">
        <v>3.9399999999999998E-2</v>
      </c>
      <c r="O10">
        <f t="shared" si="2"/>
        <v>1.634800459424341</v>
      </c>
      <c r="P10">
        <f t="shared" si="3"/>
        <v>39.4</v>
      </c>
      <c r="T10" s="28"/>
      <c r="U10" s="28"/>
    </row>
    <row r="11" spans="1:21">
      <c r="A11">
        <v>10</v>
      </c>
      <c r="B11">
        <v>109990.00000000001</v>
      </c>
      <c r="C11">
        <v>1475230</v>
      </c>
      <c r="D11" s="28">
        <v>1467853.85</v>
      </c>
      <c r="E11" s="28">
        <v>1482606.15</v>
      </c>
      <c r="F11">
        <v>380.13</v>
      </c>
      <c r="G11">
        <v>612.10401796908343</v>
      </c>
      <c r="H11" s="28">
        <v>607.98679729720425</v>
      </c>
      <c r="I11" s="28">
        <v>616.21983124284759</v>
      </c>
      <c r="J11" s="2" t="s">
        <v>10</v>
      </c>
      <c r="K11" s="2" t="s">
        <v>11</v>
      </c>
      <c r="L11">
        <v>1.9999742002063983</v>
      </c>
      <c r="M11">
        <v>3.9750000000000001E-2</v>
      </c>
      <c r="O11">
        <f t="shared" si="2"/>
        <v>1.6337092563416382</v>
      </c>
      <c r="P11">
        <f t="shared" si="3"/>
        <v>39.75</v>
      </c>
      <c r="T11" s="28"/>
      <c r="U11" s="28"/>
    </row>
    <row r="12" spans="1:21">
      <c r="A12">
        <v>11</v>
      </c>
      <c r="B12">
        <v>110030</v>
      </c>
      <c r="C12">
        <v>1479166</v>
      </c>
      <c r="D12" s="28">
        <v>1471770.1700000002</v>
      </c>
      <c r="E12" s="28">
        <v>1486561.8299999998</v>
      </c>
      <c r="F12">
        <v>380.62</v>
      </c>
      <c r="G12">
        <v>613.19785246363949</v>
      </c>
      <c r="H12" s="28">
        <v>609.07436998562412</v>
      </c>
      <c r="I12" s="28">
        <v>617.3199192159143</v>
      </c>
      <c r="J12" s="2" t="s">
        <v>10</v>
      </c>
      <c r="K12" s="2" t="s">
        <v>11</v>
      </c>
      <c r="L12">
        <v>1.9999742002063983</v>
      </c>
      <c r="M12">
        <v>4.0350000000000004E-2</v>
      </c>
      <c r="O12">
        <f t="shared" si="2"/>
        <v>1.6307950133587537</v>
      </c>
      <c r="P12">
        <f t="shared" si="3"/>
        <v>40.35</v>
      </c>
      <c r="T12" s="28"/>
      <c r="U12" s="28"/>
    </row>
    <row r="13" spans="1:21">
      <c r="A13">
        <v>12</v>
      </c>
      <c r="B13">
        <v>109940.00000000001</v>
      </c>
      <c r="C13">
        <v>1477140</v>
      </c>
      <c r="D13" s="28">
        <v>1469754.3</v>
      </c>
      <c r="E13" s="28">
        <v>1484525.7</v>
      </c>
      <c r="F13">
        <v>363.7</v>
      </c>
      <c r="G13">
        <v>588.5161399979736</v>
      </c>
      <c r="H13" s="28">
        <v>584.56854814379551</v>
      </c>
      <c r="I13" s="28">
        <v>592.46254450321396</v>
      </c>
      <c r="J13" s="2" t="s">
        <v>10</v>
      </c>
      <c r="K13" s="2" t="s">
        <v>11</v>
      </c>
      <c r="L13">
        <v>1.9999742002063983</v>
      </c>
      <c r="M13">
        <v>0.13390000000000002</v>
      </c>
      <c r="O13">
        <f t="shared" si="2"/>
        <v>1.6991887427309016</v>
      </c>
      <c r="P13">
        <f t="shared" si="3"/>
        <v>133.9</v>
      </c>
      <c r="T13" s="28"/>
      <c r="U13" s="28"/>
    </row>
    <row r="14" spans="1:21">
      <c r="A14">
        <v>13</v>
      </c>
      <c r="B14">
        <v>110140.00000000001</v>
      </c>
      <c r="C14">
        <v>1477344.4000000001</v>
      </c>
      <c r="D14" s="28">
        <v>1469957.6780000001</v>
      </c>
      <c r="E14" s="28">
        <v>1484731.1220000002</v>
      </c>
      <c r="F14">
        <v>364.54</v>
      </c>
      <c r="G14">
        <v>589.62290175300291</v>
      </c>
      <c r="H14" s="28">
        <v>585.66751510928327</v>
      </c>
      <c r="I14" s="28">
        <v>593.57709263123684</v>
      </c>
      <c r="J14" s="2" t="s">
        <v>10</v>
      </c>
      <c r="K14" s="2" t="s">
        <v>11</v>
      </c>
      <c r="L14">
        <v>1.9999742002063983</v>
      </c>
      <c r="M14">
        <v>0.13639999999999999</v>
      </c>
      <c r="O14">
        <f t="shared" si="2"/>
        <v>1.6959992514315647</v>
      </c>
      <c r="P14">
        <f t="shared" si="3"/>
        <v>136.4</v>
      </c>
      <c r="T14" s="28"/>
      <c r="U14" s="28"/>
    </row>
    <row r="15" spans="1:21">
      <c r="A15">
        <v>14</v>
      </c>
      <c r="B15">
        <v>109959.99999999999</v>
      </c>
      <c r="C15">
        <v>1473228.7999999998</v>
      </c>
      <c r="D15" s="28">
        <v>1465862.6559999997</v>
      </c>
      <c r="E15" s="28">
        <v>1480594.9439999999</v>
      </c>
      <c r="F15">
        <v>371.37</v>
      </c>
      <c r="G15">
        <v>599.33160444669159</v>
      </c>
      <c r="H15" s="28">
        <v>595.30577700473623</v>
      </c>
      <c r="I15" s="28">
        <v>603.35614906391709</v>
      </c>
      <c r="J15" s="2" t="s">
        <v>10</v>
      </c>
      <c r="K15" s="2" t="s">
        <v>11</v>
      </c>
      <c r="L15">
        <v>1.9999742002063983</v>
      </c>
      <c r="M15">
        <v>8.5749999999999993E-2</v>
      </c>
      <c r="O15">
        <f t="shared" si="2"/>
        <v>1.6685253915871985</v>
      </c>
      <c r="P15">
        <f t="shared" si="3"/>
        <v>85.75</v>
      </c>
      <c r="T15" s="28"/>
      <c r="U15" s="28"/>
    </row>
    <row r="16" spans="1:21">
      <c r="A16">
        <v>15</v>
      </c>
      <c r="B16">
        <v>110009.99999999999</v>
      </c>
      <c r="C16">
        <v>1475254</v>
      </c>
      <c r="D16" s="28">
        <v>1467877.73</v>
      </c>
      <c r="E16" s="28">
        <v>1482630.27</v>
      </c>
      <c r="F16">
        <v>371.84</v>
      </c>
      <c r="G16">
        <v>600.11025335372017</v>
      </c>
      <c r="H16" s="28">
        <v>596.0790402967973</v>
      </c>
      <c r="I16" s="28">
        <v>604.1401762661917</v>
      </c>
      <c r="J16" s="2" t="s">
        <v>10</v>
      </c>
      <c r="K16" s="2" t="s">
        <v>11</v>
      </c>
      <c r="L16">
        <v>1.9999742002063983</v>
      </c>
      <c r="M16">
        <v>8.6049999999999988E-2</v>
      </c>
      <c r="O16">
        <f t="shared" si="2"/>
        <v>1.6663604636172991</v>
      </c>
      <c r="P16">
        <f t="shared" si="3"/>
        <v>86.049999999999983</v>
      </c>
      <c r="T16" s="28"/>
      <c r="U16" s="28"/>
    </row>
    <row r="17" spans="1:21">
      <c r="A17">
        <v>16</v>
      </c>
      <c r="B17">
        <v>110170</v>
      </c>
      <c r="C17">
        <v>1477370</v>
      </c>
      <c r="D17" s="28">
        <v>1469983.15</v>
      </c>
      <c r="E17" s="28">
        <v>1484756.85</v>
      </c>
      <c r="F17">
        <v>372.37</v>
      </c>
      <c r="G17">
        <v>600.93740073330321</v>
      </c>
      <c r="H17" s="28">
        <v>596.90073758757308</v>
      </c>
      <c r="I17" s="28">
        <v>604.97276726248663</v>
      </c>
      <c r="J17" s="2" t="s">
        <v>10</v>
      </c>
      <c r="K17" s="2" t="s">
        <v>11</v>
      </c>
      <c r="L17">
        <v>1.9999742002063983</v>
      </c>
      <c r="M17">
        <v>8.6499999999999994E-2</v>
      </c>
      <c r="O17">
        <f t="shared" si="2"/>
        <v>1.6640668375437015</v>
      </c>
      <c r="P17">
        <f t="shared" si="3"/>
        <v>86.5</v>
      </c>
      <c r="T17" s="28"/>
      <c r="U17" s="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3F1B-EF42-4A73-9048-47E8DAC5EF16}">
  <sheetPr>
    <tabColor theme="9" tint="-0.249977111117893"/>
  </sheetPr>
  <dimension ref="A1:L12"/>
  <sheetViews>
    <sheetView workbookViewId="0"/>
  </sheetViews>
  <sheetFormatPr defaultRowHeight="15"/>
  <cols>
    <col min="2" max="2" width="15.7109375" customWidth="1"/>
    <col min="3" max="3" width="15.42578125" customWidth="1"/>
    <col min="4" max="4" width="15.85546875" customWidth="1"/>
    <col min="5" max="5" width="14.28515625" customWidth="1"/>
    <col min="6" max="6" width="16.140625" customWidth="1"/>
    <col min="7" max="7" width="19.42578125" customWidth="1"/>
    <col min="8" max="8" width="14" customWidth="1"/>
    <col min="9" max="9" width="13.7109375" customWidth="1"/>
    <col min="10" max="10" width="23.42578125" customWidth="1"/>
    <col min="11" max="11" width="14" customWidth="1"/>
    <col min="12" max="12" width="10.42578125" customWidth="1"/>
  </cols>
  <sheetData>
    <row r="1" spans="1:12">
      <c r="A1" s="8" t="s">
        <v>0</v>
      </c>
      <c r="B1" s="8" t="s">
        <v>1</v>
      </c>
      <c r="C1" s="8" t="s">
        <v>53</v>
      </c>
      <c r="D1" s="8" t="s">
        <v>54</v>
      </c>
      <c r="E1" s="8" t="s">
        <v>2</v>
      </c>
      <c r="F1" s="8" t="s">
        <v>3</v>
      </c>
      <c r="G1" s="8" t="s">
        <v>55</v>
      </c>
      <c r="H1" s="8" t="s">
        <v>56</v>
      </c>
      <c r="I1" s="8" t="s">
        <v>4</v>
      </c>
      <c r="J1" s="8" t="s">
        <v>6</v>
      </c>
      <c r="K1" s="8" t="s">
        <v>8</v>
      </c>
      <c r="L1" s="8" t="s">
        <v>9</v>
      </c>
    </row>
    <row r="2" spans="1:12">
      <c r="A2">
        <v>59789</v>
      </c>
      <c r="B2">
        <v>967989.00000000012</v>
      </c>
      <c r="C2">
        <v>963149.05500000017</v>
      </c>
      <c r="D2">
        <v>972828.94500000007</v>
      </c>
      <c r="E2">
        <v>370.84</v>
      </c>
      <c r="F2">
        <v>618.86935666203601</v>
      </c>
      <c r="G2">
        <v>614.74405685304839</v>
      </c>
      <c r="H2">
        <v>622.99315384399461</v>
      </c>
      <c r="I2" t="s">
        <v>10</v>
      </c>
      <c r="J2" t="s">
        <v>11</v>
      </c>
      <c r="K2">
        <v>1.9999742002063983</v>
      </c>
      <c r="L2">
        <v>5.8100000000000006E-2</v>
      </c>
    </row>
    <row r="3" spans="1:12">
      <c r="A3">
        <v>61104</v>
      </c>
      <c r="B3">
        <v>998604.79999999993</v>
      </c>
      <c r="C3">
        <v>993611.77599999995</v>
      </c>
      <c r="D3">
        <v>1003597.8239999999</v>
      </c>
      <c r="E3">
        <v>370.82</v>
      </c>
      <c r="F3">
        <v>619.77170414549471</v>
      </c>
      <c r="G3">
        <v>615.64130937265486</v>
      </c>
      <c r="H3">
        <v>623.90058369206099</v>
      </c>
      <c r="I3" t="s">
        <v>10</v>
      </c>
      <c r="J3" t="s">
        <v>11</v>
      </c>
      <c r="K3">
        <v>1.9999742002063983</v>
      </c>
      <c r="L3">
        <v>6.0600000000000001E-2</v>
      </c>
    </row>
    <row r="4" spans="1:12">
      <c r="A4">
        <v>60924</v>
      </c>
      <c r="B4">
        <v>1002318.3999999999</v>
      </c>
      <c r="C4">
        <v>997306.80799999996</v>
      </c>
      <c r="D4">
        <v>1007329.9919999999</v>
      </c>
      <c r="E4">
        <v>371.2</v>
      </c>
      <c r="F4">
        <v>621.32535230881729</v>
      </c>
      <c r="G4">
        <v>617.18739787466961</v>
      </c>
      <c r="H4">
        <v>625.4617787323042</v>
      </c>
      <c r="I4" t="s">
        <v>10</v>
      </c>
      <c r="J4" t="s">
        <v>11</v>
      </c>
      <c r="K4">
        <v>1.9999742002063983</v>
      </c>
      <c r="L4">
        <v>5.6899999999999992E-2</v>
      </c>
    </row>
    <row r="5" spans="1:12">
      <c r="A5">
        <v>61154</v>
      </c>
      <c r="B5">
        <v>998634</v>
      </c>
      <c r="C5">
        <v>993640.83</v>
      </c>
      <c r="D5">
        <v>1003627.17</v>
      </c>
      <c r="E5">
        <v>376.62</v>
      </c>
      <c r="F5">
        <v>628.28202523934669</v>
      </c>
      <c r="G5">
        <v>624.09068054611123</v>
      </c>
      <c r="H5">
        <v>632.47176267038026</v>
      </c>
      <c r="I5" t="s">
        <v>10</v>
      </c>
      <c r="J5" t="s">
        <v>11</v>
      </c>
      <c r="K5">
        <v>1.9999742002063983</v>
      </c>
      <c r="L5">
        <v>3.9949999999999999E-2</v>
      </c>
    </row>
    <row r="6" spans="1:12">
      <c r="A6">
        <v>61269.000000000007</v>
      </c>
      <c r="B6">
        <v>977303.39999999991</v>
      </c>
      <c r="C6">
        <v>972416.88299999991</v>
      </c>
      <c r="D6">
        <v>982189.9169999999</v>
      </c>
      <c r="E6">
        <v>377.31</v>
      </c>
      <c r="F6">
        <v>626.8257107222131</v>
      </c>
      <c r="G6">
        <v>622.64042573879942</v>
      </c>
      <c r="H6">
        <v>631.00940966423912</v>
      </c>
      <c r="I6" t="s">
        <v>10</v>
      </c>
      <c r="J6" t="s">
        <v>11</v>
      </c>
      <c r="K6">
        <v>1.9999742002063983</v>
      </c>
      <c r="L6">
        <v>5.5000000000000007E-2</v>
      </c>
    </row>
    <row r="7" spans="1:12">
      <c r="A7">
        <v>61203</v>
      </c>
      <c r="B7">
        <v>969412.2</v>
      </c>
      <c r="C7">
        <v>964565.13899999997</v>
      </c>
      <c r="D7">
        <v>974259.26099999994</v>
      </c>
      <c r="E7">
        <v>377.87</v>
      </c>
      <c r="F7">
        <v>626.81093754207677</v>
      </c>
      <c r="G7">
        <v>622.62367526548564</v>
      </c>
      <c r="H7">
        <v>630.99661330106187</v>
      </c>
      <c r="I7" t="s">
        <v>10</v>
      </c>
      <c r="J7" t="s">
        <v>11</v>
      </c>
      <c r="K7">
        <v>1.9999742002063983</v>
      </c>
      <c r="L7">
        <v>5.8500000000000003E-2</v>
      </c>
    </row>
    <row r="8" spans="1:12">
      <c r="A8">
        <v>61170.000000000007</v>
      </c>
      <c r="B8">
        <v>971318</v>
      </c>
      <c r="C8">
        <v>966461.41</v>
      </c>
      <c r="D8">
        <v>976174.59</v>
      </c>
      <c r="E8">
        <v>384.32</v>
      </c>
      <c r="F8">
        <v>636.5720688581373</v>
      </c>
      <c r="G8">
        <v>632.31556009202745</v>
      </c>
      <c r="H8">
        <v>640.82687842289261</v>
      </c>
      <c r="I8" t="s">
        <v>10</v>
      </c>
      <c r="J8" t="s">
        <v>11</v>
      </c>
      <c r="K8">
        <v>1.9999742002063983</v>
      </c>
      <c r="L8">
        <v>3.6949999999999997E-2</v>
      </c>
    </row>
    <row r="9" spans="1:12">
      <c r="A9">
        <v>61252</v>
      </c>
      <c r="B9">
        <v>977272.00000000012</v>
      </c>
      <c r="C9">
        <v>972385.64000000013</v>
      </c>
      <c r="D9">
        <v>982158.3600000001</v>
      </c>
      <c r="E9">
        <v>385.01</v>
      </c>
      <c r="F9">
        <v>638.21462414160214</v>
      </c>
      <c r="G9">
        <v>633.94821676930985</v>
      </c>
      <c r="H9">
        <v>642.47931483091622</v>
      </c>
      <c r="I9" t="s">
        <v>10</v>
      </c>
      <c r="J9" t="s">
        <v>11</v>
      </c>
      <c r="K9">
        <v>1.9999742002063983</v>
      </c>
      <c r="L9">
        <v>3.5949999999999996E-2</v>
      </c>
    </row>
    <row r="10" spans="1:12">
      <c r="A10">
        <v>61236</v>
      </c>
      <c r="B10">
        <v>971411.99999999988</v>
      </c>
      <c r="C10">
        <v>966554.93999999983</v>
      </c>
      <c r="D10">
        <v>976269.05999999994</v>
      </c>
      <c r="E10">
        <v>385.06</v>
      </c>
      <c r="F10">
        <v>637.55950760598182</v>
      </c>
      <c r="G10">
        <v>633.29580420172874</v>
      </c>
      <c r="H10">
        <v>641.8215002395159</v>
      </c>
      <c r="I10" t="s">
        <v>10</v>
      </c>
      <c r="J10" t="s">
        <v>11</v>
      </c>
      <c r="K10">
        <v>1.9999742002063983</v>
      </c>
      <c r="L10">
        <v>4.0749999999999995E-2</v>
      </c>
    </row>
    <row r="11" spans="1:12">
      <c r="A11">
        <v>61532.000000000007</v>
      </c>
      <c r="B11">
        <v>993171.99999999988</v>
      </c>
      <c r="C11">
        <v>988206.1399999999</v>
      </c>
      <c r="D11">
        <v>998137.85999999987</v>
      </c>
      <c r="E11">
        <v>372.92</v>
      </c>
      <c r="F11">
        <v>621.66770296534696</v>
      </c>
      <c r="G11">
        <v>617.52214335148687</v>
      </c>
      <c r="H11">
        <v>625.81173113282011</v>
      </c>
      <c r="I11" t="s">
        <v>10</v>
      </c>
      <c r="J11" t="s">
        <v>11</v>
      </c>
      <c r="K11">
        <v>1.9999742002063983</v>
      </c>
      <c r="L11">
        <v>0.1507</v>
      </c>
    </row>
    <row r="12" spans="1:12">
      <c r="A12">
        <v>61532.000000000007</v>
      </c>
      <c r="B12">
        <v>995105.76</v>
      </c>
      <c r="C12">
        <v>990130.23119999992</v>
      </c>
      <c r="D12">
        <v>1000081.2888000001</v>
      </c>
      <c r="E12">
        <v>373.03</v>
      </c>
      <c r="F12">
        <v>621.94619629053022</v>
      </c>
      <c r="G12">
        <v>617.79830815310186</v>
      </c>
      <c r="H12">
        <v>626.09254836549724</v>
      </c>
      <c r="I12" t="s">
        <v>10</v>
      </c>
      <c r="J12" t="s">
        <v>11</v>
      </c>
      <c r="K12">
        <v>1.9999742002063983</v>
      </c>
      <c r="L12">
        <v>0.13419999999999999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O15"/>
  <sheetViews>
    <sheetView workbookViewId="0"/>
  </sheetViews>
  <sheetFormatPr defaultRowHeight="15"/>
  <cols>
    <col min="1" max="1" width="8.140625" customWidth="1"/>
    <col min="2" max="4" width="10.7109375" customWidth="1"/>
    <col min="5" max="5" width="6.7109375" customWidth="1"/>
    <col min="6" max="8" width="11.7109375" customWidth="1"/>
    <col min="9" max="9" width="19.7109375" customWidth="1"/>
    <col min="10" max="10" width="26.7109375" customWidth="1"/>
    <col min="11" max="11" width="12.7109375" customWidth="1"/>
    <col min="12" max="12" width="7.7109375" customWidth="1"/>
  </cols>
  <sheetData>
    <row r="1" spans="1:15">
      <c r="A1" s="26" t="s">
        <v>0</v>
      </c>
      <c r="B1" s="8" t="s">
        <v>1</v>
      </c>
      <c r="C1" s="8" t="s">
        <v>53</v>
      </c>
      <c r="D1" s="8" t="s">
        <v>54</v>
      </c>
      <c r="E1" s="8" t="s">
        <v>2</v>
      </c>
      <c r="F1" s="8" t="s">
        <v>3</v>
      </c>
      <c r="G1" s="8" t="s">
        <v>55</v>
      </c>
      <c r="H1" s="8" t="s">
        <v>56</v>
      </c>
      <c r="I1" s="26" t="s">
        <v>4</v>
      </c>
      <c r="J1" s="26" t="s">
        <v>6</v>
      </c>
      <c r="K1" s="26" t="s">
        <v>8</v>
      </c>
      <c r="L1" s="26" t="s">
        <v>9</v>
      </c>
      <c r="M1" s="8"/>
      <c r="N1" s="24" t="s">
        <v>17</v>
      </c>
      <c r="O1" s="24" t="s">
        <v>18</v>
      </c>
    </row>
    <row r="2" spans="1:15">
      <c r="A2">
        <v>110140.00000000001</v>
      </c>
      <c r="B2">
        <v>1461693.12</v>
      </c>
      <c r="C2">
        <v>1454384.6544000001</v>
      </c>
      <c r="D2">
        <v>1469001.5856000001</v>
      </c>
      <c r="E2">
        <v>371.07</v>
      </c>
      <c r="F2">
        <v>597.06562522015349</v>
      </c>
      <c r="G2">
        <v>593.23324481240331</v>
      </c>
      <c r="H2">
        <v>600.89654853614411</v>
      </c>
      <c r="I2" s="3" t="s">
        <v>12</v>
      </c>
      <c r="J2" s="3" t="s">
        <v>13</v>
      </c>
      <c r="K2">
        <v>0.50000484331864192</v>
      </c>
      <c r="L2">
        <v>0.14085</v>
      </c>
      <c r="N2">
        <f>1000/F2</f>
        <v>1.6748577673204252</v>
      </c>
      <c r="O2">
        <f>L2*1000</f>
        <v>140.85</v>
      </c>
    </row>
    <row r="3" spans="1:15">
      <c r="A3">
        <v>109940.00000000001</v>
      </c>
      <c r="B3">
        <v>1469304.4</v>
      </c>
      <c r="C3">
        <v>1461957.878</v>
      </c>
      <c r="D3">
        <v>1476650.9219999998</v>
      </c>
      <c r="E3">
        <v>372.27</v>
      </c>
      <c r="F3">
        <v>599.39252318471813</v>
      </c>
      <c r="G3">
        <v>595.5451799906059</v>
      </c>
      <c r="H3">
        <v>603.23841308740919</v>
      </c>
      <c r="I3" s="3" t="s">
        <v>12</v>
      </c>
      <c r="J3" s="3" t="s">
        <v>13</v>
      </c>
      <c r="K3">
        <v>0.50000484331864192</v>
      </c>
      <c r="L3">
        <v>0.12219999999999999</v>
      </c>
      <c r="N3">
        <f t="shared" ref="N3:N6" si="0">1000/F3</f>
        <v>1.6683558124595166</v>
      </c>
      <c r="O3">
        <f t="shared" ref="O3:O6" si="1">L3*1000</f>
        <v>122.19999999999999</v>
      </c>
    </row>
    <row r="4" spans="1:15">
      <c r="A4">
        <v>109930</v>
      </c>
      <c r="B4">
        <v>1467341.2</v>
      </c>
      <c r="C4">
        <v>1460004.4939999999</v>
      </c>
      <c r="D4">
        <v>1474677.906</v>
      </c>
      <c r="E4">
        <v>373.02</v>
      </c>
      <c r="F4">
        <v>600.06871781469306</v>
      </c>
      <c r="G4">
        <v>596.21472923834756</v>
      </c>
      <c r="H4">
        <v>603.92126439252002</v>
      </c>
      <c r="I4" s="3" t="s">
        <v>12</v>
      </c>
      <c r="J4" s="3" t="s">
        <v>13</v>
      </c>
      <c r="K4">
        <v>0.50000484331864192</v>
      </c>
      <c r="L4">
        <v>0.1169</v>
      </c>
      <c r="N4">
        <f t="shared" si="0"/>
        <v>1.6664758057073215</v>
      </c>
      <c r="O4">
        <f t="shared" si="1"/>
        <v>116.9</v>
      </c>
    </row>
    <row r="5" spans="1:15">
      <c r="A5">
        <v>110270</v>
      </c>
      <c r="B5">
        <v>1471601.2</v>
      </c>
      <c r="C5">
        <v>1464243.1939999999</v>
      </c>
      <c r="D5">
        <v>1478959.206</v>
      </c>
      <c r="E5">
        <v>373.89</v>
      </c>
      <c r="F5">
        <v>601.2521319681814</v>
      </c>
      <c r="G5">
        <v>597.38968982152437</v>
      </c>
      <c r="H5">
        <v>605.11313605788723</v>
      </c>
      <c r="I5" s="3" t="s">
        <v>12</v>
      </c>
      <c r="J5" s="3" t="s">
        <v>13</v>
      </c>
      <c r="K5">
        <v>0.50000484331864192</v>
      </c>
      <c r="L5">
        <v>0.1134</v>
      </c>
      <c r="N5">
        <f t="shared" si="0"/>
        <v>1.6631957656873981</v>
      </c>
      <c r="O5">
        <f t="shared" si="1"/>
        <v>113.4</v>
      </c>
    </row>
    <row r="6" spans="1:15">
      <c r="A6">
        <v>110350</v>
      </c>
      <c r="B6">
        <v>1467762</v>
      </c>
      <c r="C6">
        <v>1460423.19</v>
      </c>
      <c r="D6">
        <v>1475100.81</v>
      </c>
      <c r="E6">
        <v>389.99</v>
      </c>
      <c r="F6">
        <v>623.12149092205311</v>
      </c>
      <c r="G6">
        <v>619.10241560273244</v>
      </c>
      <c r="H6">
        <v>627.13920036001764</v>
      </c>
      <c r="I6" s="3" t="s">
        <v>12</v>
      </c>
      <c r="J6" s="3" t="s">
        <v>13</v>
      </c>
      <c r="K6">
        <v>0.50000484331864192</v>
      </c>
      <c r="L6">
        <v>7.3700000000000015E-2</v>
      </c>
      <c r="N6">
        <f t="shared" si="0"/>
        <v>1.6048234807633861</v>
      </c>
      <c r="O6">
        <f t="shared" si="1"/>
        <v>73.700000000000017</v>
      </c>
    </row>
    <row r="7" spans="1:15">
      <c r="A7">
        <v>110109.99999999999</v>
      </c>
      <c r="B7">
        <v>1479232.4</v>
      </c>
      <c r="C7">
        <v>1471836.2379999999</v>
      </c>
      <c r="D7">
        <v>1486628.5619999999</v>
      </c>
      <c r="E7">
        <v>390.52</v>
      </c>
      <c r="F7">
        <v>624.83472095604486</v>
      </c>
      <c r="G7">
        <v>620.80567632293094</v>
      </c>
      <c r="H7">
        <v>628.86239979708841</v>
      </c>
      <c r="I7" s="3" t="s">
        <v>12</v>
      </c>
      <c r="J7" s="3" t="s">
        <v>13</v>
      </c>
      <c r="K7">
        <v>0.50000484331864192</v>
      </c>
      <c r="L7">
        <v>6.6649999999999987E-2</v>
      </c>
      <c r="N7">
        <f t="shared" ref="N7:N14" si="2">1000/F7</f>
        <v>1.6004232262732192</v>
      </c>
      <c r="O7">
        <f t="shared" ref="O7:O14" si="3">L7*1000</f>
        <v>66.649999999999991</v>
      </c>
    </row>
    <row r="8" spans="1:15">
      <c r="A8">
        <v>110340.00000000001</v>
      </c>
      <c r="B8">
        <v>1506822.4</v>
      </c>
      <c r="C8">
        <v>1499288.2879999999</v>
      </c>
      <c r="D8">
        <v>1514356.5119999999</v>
      </c>
      <c r="E8">
        <v>390.78</v>
      </c>
      <c r="F8">
        <v>626.90593993253424</v>
      </c>
      <c r="G8">
        <v>622.86645073504224</v>
      </c>
      <c r="H8">
        <v>630.9440580606207</v>
      </c>
      <c r="I8" s="3" t="s">
        <v>12</v>
      </c>
      <c r="J8" s="3" t="s">
        <v>13</v>
      </c>
      <c r="K8">
        <v>0.50000484331864192</v>
      </c>
      <c r="L8">
        <v>6.4400000000000013E-2</v>
      </c>
      <c r="N8">
        <f t="shared" si="2"/>
        <v>1.5951356276949888</v>
      </c>
      <c r="O8">
        <f t="shared" si="3"/>
        <v>64.400000000000006</v>
      </c>
    </row>
    <row r="9" spans="1:15">
      <c r="A9">
        <v>109980</v>
      </c>
      <c r="B9">
        <v>1494749.2</v>
      </c>
      <c r="C9">
        <v>1487275.4540000001</v>
      </c>
      <c r="D9">
        <v>1502222.9459999998</v>
      </c>
      <c r="E9">
        <v>391.22</v>
      </c>
      <c r="F9">
        <v>627.12871837670627</v>
      </c>
      <c r="G9">
        <v>623.08714084726842</v>
      </c>
      <c r="H9">
        <v>631.16892518605221</v>
      </c>
      <c r="I9" s="3" t="s">
        <v>12</v>
      </c>
      <c r="J9" s="3" t="s">
        <v>13</v>
      </c>
      <c r="K9">
        <v>0.50000484331864192</v>
      </c>
      <c r="L9">
        <v>6.2299999999999994E-2</v>
      </c>
      <c r="N9">
        <f t="shared" si="2"/>
        <v>1.5945689787392512</v>
      </c>
      <c r="O9">
        <f t="shared" si="3"/>
        <v>62.3</v>
      </c>
    </row>
    <row r="10" spans="1:15">
      <c r="A10">
        <v>110090.00000000001</v>
      </c>
      <c r="B10">
        <v>1487050.0000000002</v>
      </c>
      <c r="C10">
        <v>1479614.7500000002</v>
      </c>
      <c r="D10">
        <v>1494485.2500000002</v>
      </c>
      <c r="E10">
        <v>415.13</v>
      </c>
      <c r="F10">
        <v>659.39852994976809</v>
      </c>
      <c r="G10">
        <v>655.12391378019561</v>
      </c>
      <c r="H10">
        <v>663.6718783440308</v>
      </c>
      <c r="I10" s="3" t="s">
        <v>12</v>
      </c>
      <c r="J10" s="3" t="s">
        <v>13</v>
      </c>
      <c r="K10">
        <v>0.50000484331864192</v>
      </c>
      <c r="L10">
        <v>2.9249999999999998E-2</v>
      </c>
      <c r="N10">
        <f t="shared" si="2"/>
        <v>1.5165335598733871</v>
      </c>
      <c r="O10">
        <f t="shared" si="3"/>
        <v>29.25</v>
      </c>
    </row>
    <row r="11" spans="1:15">
      <c r="A11">
        <v>110209.99999999999</v>
      </c>
      <c r="B11">
        <v>1500854.4</v>
      </c>
      <c r="C11">
        <v>1493350.1279999998</v>
      </c>
      <c r="D11">
        <v>1508358.672</v>
      </c>
      <c r="E11">
        <v>415.57</v>
      </c>
      <c r="F11">
        <v>660.73636963686829</v>
      </c>
      <c r="G11">
        <v>656.45329082783314</v>
      </c>
      <c r="H11">
        <v>665.01818364156759</v>
      </c>
      <c r="I11" s="3" t="s">
        <v>12</v>
      </c>
      <c r="J11" s="3" t="s">
        <v>13</v>
      </c>
      <c r="K11">
        <v>0.50000484331864192</v>
      </c>
      <c r="L11">
        <v>2.7700000000000002E-2</v>
      </c>
      <c r="N11">
        <f t="shared" si="2"/>
        <v>1.5134629270515052</v>
      </c>
      <c r="O11">
        <f t="shared" si="3"/>
        <v>27.700000000000003</v>
      </c>
    </row>
    <row r="12" spans="1:15">
      <c r="A12">
        <v>110059.99999999999</v>
      </c>
      <c r="B12">
        <v>1498730.7999999996</v>
      </c>
      <c r="C12">
        <v>1491237.1459999995</v>
      </c>
      <c r="D12">
        <v>1506224.4539999997</v>
      </c>
      <c r="E12">
        <v>415.97</v>
      </c>
      <c r="F12">
        <v>661.51533524074068</v>
      </c>
      <c r="G12">
        <v>657.22827651562739</v>
      </c>
      <c r="H12">
        <v>665.80112427399456</v>
      </c>
      <c r="I12" s="3" t="s">
        <v>12</v>
      </c>
      <c r="J12" s="3" t="s">
        <v>13</v>
      </c>
      <c r="K12">
        <v>0.50000484331864192</v>
      </c>
      <c r="L12">
        <v>2.8199999999999996E-2</v>
      </c>
      <c r="N12">
        <f t="shared" si="2"/>
        <v>1.5116807528522025</v>
      </c>
      <c r="O12">
        <f t="shared" si="3"/>
        <v>28.199999999999996</v>
      </c>
    </row>
    <row r="13" spans="1:15">
      <c r="A13">
        <v>110390.00000000001</v>
      </c>
      <c r="B13">
        <v>1508814.7999999998</v>
      </c>
      <c r="C13">
        <v>1501270.7259999998</v>
      </c>
      <c r="D13">
        <v>1516358.8739999998</v>
      </c>
      <c r="E13">
        <v>439.75</v>
      </c>
      <c r="F13">
        <v>694.57878537670638</v>
      </c>
      <c r="G13">
        <v>690.05407045289564</v>
      </c>
      <c r="H13">
        <v>699.10232074775104</v>
      </c>
      <c r="I13" s="3" t="s">
        <v>12</v>
      </c>
      <c r="J13" s="3" t="s">
        <v>13</v>
      </c>
      <c r="K13">
        <v>0.50000484331864192</v>
      </c>
      <c r="L13">
        <v>1.0200000000000008E-2</v>
      </c>
      <c r="N13">
        <f t="shared" si="2"/>
        <v>1.4397214845219435</v>
      </c>
      <c r="O13">
        <f t="shared" si="3"/>
        <v>10.200000000000008</v>
      </c>
    </row>
    <row r="14" spans="1:15">
      <c r="A14">
        <v>110550</v>
      </c>
      <c r="B14">
        <v>1524593.2000000002</v>
      </c>
      <c r="C14">
        <v>1516970.2340000002</v>
      </c>
      <c r="D14">
        <v>1532216.1660000002</v>
      </c>
      <c r="E14">
        <v>440.12</v>
      </c>
      <c r="F14">
        <v>695.98073218149295</v>
      </c>
      <c r="G14">
        <v>691.44754725172777</v>
      </c>
      <c r="H14">
        <v>700.51273873296259</v>
      </c>
      <c r="I14" s="3" t="s">
        <v>12</v>
      </c>
      <c r="J14" s="3" t="s">
        <v>13</v>
      </c>
      <c r="K14">
        <v>0.50000484331864192</v>
      </c>
      <c r="L14">
        <v>9.7499999999999948E-3</v>
      </c>
      <c r="N14">
        <f t="shared" si="2"/>
        <v>1.4368213856518475</v>
      </c>
      <c r="O14">
        <f t="shared" si="3"/>
        <v>9.7499999999999947</v>
      </c>
    </row>
    <row r="15" spans="1:15">
      <c r="A15">
        <v>110159.99999999999</v>
      </c>
      <c r="B15">
        <v>1516422.4</v>
      </c>
      <c r="C15">
        <v>1508840.2879999999</v>
      </c>
      <c r="D15">
        <v>1524004.5119999999</v>
      </c>
      <c r="E15">
        <v>440.22</v>
      </c>
      <c r="F15">
        <v>696.01371504170731</v>
      </c>
      <c r="G15">
        <v>691.4805189743264</v>
      </c>
      <c r="H15">
        <v>700.54573106329065</v>
      </c>
      <c r="I15" s="3" t="s">
        <v>12</v>
      </c>
      <c r="J15" s="3" t="s">
        <v>13</v>
      </c>
      <c r="K15">
        <v>0.50000484331864192</v>
      </c>
      <c r="L15">
        <v>9.7500000000000017E-3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249977111117893"/>
  </sheetPr>
  <dimension ref="A1:P12"/>
  <sheetViews>
    <sheetView topLeftCell="C1" workbookViewId="0">
      <selection activeCell="K31" sqref="K31"/>
    </sheetView>
  </sheetViews>
  <sheetFormatPr defaultRowHeight="15"/>
  <cols>
    <col min="2" max="2" width="7.140625" customWidth="1"/>
    <col min="3" max="3" width="12.28515625" customWidth="1"/>
    <col min="4" max="4" width="17.140625" customWidth="1"/>
    <col min="5" max="5" width="18" customWidth="1"/>
    <col min="6" max="6" width="12.7109375" customWidth="1"/>
    <col min="7" max="7" width="16.140625" customWidth="1"/>
    <col min="8" max="8" width="18.42578125" customWidth="1"/>
    <col min="9" max="9" width="17.42578125" customWidth="1"/>
    <col min="10" max="10" width="23.5703125" customWidth="1"/>
    <col min="11" max="11" width="26.7109375" customWidth="1"/>
    <col min="12" max="12" width="11.7109375" customWidth="1"/>
    <col min="13" max="13" width="7.7109375" customWidth="1"/>
  </cols>
  <sheetData>
    <row r="1" spans="1:16">
      <c r="A1" s="8" t="s">
        <v>19</v>
      </c>
      <c r="B1" s="27" t="s">
        <v>0</v>
      </c>
      <c r="C1" s="8" t="s">
        <v>1</v>
      </c>
      <c r="D1" s="8" t="s">
        <v>53</v>
      </c>
      <c r="E1" s="8" t="s">
        <v>54</v>
      </c>
      <c r="F1" s="8" t="s">
        <v>2</v>
      </c>
      <c r="G1" s="8" t="s">
        <v>3</v>
      </c>
      <c r="H1" s="8" t="s">
        <v>55</v>
      </c>
      <c r="I1" s="8" t="s">
        <v>56</v>
      </c>
      <c r="J1" s="27" t="s">
        <v>4</v>
      </c>
      <c r="K1" s="27" t="s">
        <v>6</v>
      </c>
      <c r="L1" s="27" t="s">
        <v>8</v>
      </c>
      <c r="M1" s="27" t="s">
        <v>9</v>
      </c>
      <c r="N1" s="8"/>
      <c r="O1" s="24" t="s">
        <v>17</v>
      </c>
      <c r="P1" s="24" t="s">
        <v>18</v>
      </c>
    </row>
    <row r="2" spans="1:16">
      <c r="A2">
        <v>1</v>
      </c>
      <c r="B2">
        <v>100570</v>
      </c>
      <c r="C2">
        <v>1407197.5999999999</v>
      </c>
      <c r="D2">
        <v>1400161.6119999997</v>
      </c>
      <c r="E2">
        <v>1414233.588</v>
      </c>
      <c r="F2">
        <v>361.07</v>
      </c>
      <c r="G2">
        <v>579.56453781727453</v>
      </c>
      <c r="H2">
        <v>575.67176485048014</v>
      </c>
      <c r="I2">
        <v>583.45634171122879</v>
      </c>
      <c r="J2" s="4" t="s">
        <v>14</v>
      </c>
      <c r="K2" s="4" t="s">
        <v>15</v>
      </c>
      <c r="L2">
        <v>1.9999490679433638</v>
      </c>
      <c r="M2">
        <v>5.4499999999999993E-2</v>
      </c>
      <c r="O2">
        <f>1000/G2</f>
        <v>1.7254333810107627</v>
      </c>
      <c r="P2">
        <f>M2*1000</f>
        <v>54.499999999999993</v>
      </c>
    </row>
    <row r="3" spans="1:16">
      <c r="A3">
        <v>2</v>
      </c>
      <c r="B3">
        <v>104980</v>
      </c>
      <c r="C3">
        <v>1421379.9999999998</v>
      </c>
      <c r="D3">
        <v>1414273.0999999999</v>
      </c>
      <c r="E3">
        <v>1428486.8999999997</v>
      </c>
      <c r="F3">
        <v>360.74</v>
      </c>
      <c r="G3">
        <v>575.9305950917709</v>
      </c>
      <c r="H3">
        <v>572.05840639740006</v>
      </c>
      <c r="I3">
        <v>579.80184638592448</v>
      </c>
      <c r="J3" s="4" t="s">
        <v>14</v>
      </c>
      <c r="K3" s="4" t="s">
        <v>15</v>
      </c>
      <c r="L3">
        <v>1.9999490679433638</v>
      </c>
      <c r="M3">
        <v>9.4600000000000004E-2</v>
      </c>
      <c r="O3">
        <f t="shared" ref="O3:O12" si="0">1000/G3</f>
        <v>1.7363203283907089</v>
      </c>
      <c r="P3">
        <f t="shared" ref="P3:P12" si="1">M3*1000</f>
        <v>94.600000000000009</v>
      </c>
    </row>
    <row r="4" spans="1:16">
      <c r="A4">
        <v>3</v>
      </c>
      <c r="B4">
        <v>110350</v>
      </c>
      <c r="C4">
        <v>1456070</v>
      </c>
      <c r="D4">
        <v>1448789.65</v>
      </c>
      <c r="E4">
        <v>1463350.35</v>
      </c>
      <c r="F4">
        <v>361.16</v>
      </c>
      <c r="G4">
        <v>573.89874649442231</v>
      </c>
      <c r="H4">
        <v>570.03545782687684</v>
      </c>
      <c r="I4">
        <v>577.76111592299867</v>
      </c>
      <c r="J4" s="4" t="s">
        <v>14</v>
      </c>
      <c r="K4" s="4" t="s">
        <v>15</v>
      </c>
      <c r="L4">
        <v>1.9999490679433638</v>
      </c>
      <c r="M4">
        <v>0.12504999999999999</v>
      </c>
      <c r="O4">
        <f t="shared" si="0"/>
        <v>1.7424676497524272</v>
      </c>
      <c r="P4">
        <f t="shared" si="1"/>
        <v>125.05</v>
      </c>
    </row>
    <row r="5" spans="1:16">
      <c r="A5">
        <v>4</v>
      </c>
      <c r="B5">
        <v>109809.99999999999</v>
      </c>
      <c r="C5">
        <v>1459423.76</v>
      </c>
      <c r="D5">
        <v>1452126.6412</v>
      </c>
      <c r="E5">
        <v>1466720.8788000001</v>
      </c>
      <c r="F5">
        <v>361.65</v>
      </c>
      <c r="G5">
        <v>575.28036896315564</v>
      </c>
      <c r="H5">
        <v>571.4082474413193</v>
      </c>
      <c r="I5">
        <v>579.15156011256249</v>
      </c>
      <c r="J5" s="4" t="s">
        <v>14</v>
      </c>
      <c r="K5" s="4" t="s">
        <v>15</v>
      </c>
      <c r="L5">
        <v>1.9999490679433638</v>
      </c>
      <c r="M5">
        <v>0.10479999999999999</v>
      </c>
      <c r="O5">
        <f t="shared" si="0"/>
        <v>1.7382828511988491</v>
      </c>
      <c r="P5">
        <f t="shared" si="1"/>
        <v>104.8</v>
      </c>
    </row>
    <row r="6" spans="1:16">
      <c r="A6">
        <v>5</v>
      </c>
      <c r="B6">
        <v>110170</v>
      </c>
      <c r="C6">
        <v>1496890</v>
      </c>
      <c r="D6">
        <v>1489405.5499999998</v>
      </c>
      <c r="E6">
        <v>1504374.4500000002</v>
      </c>
      <c r="F6">
        <v>371.66</v>
      </c>
      <c r="G6">
        <v>591.78151590257926</v>
      </c>
      <c r="H6">
        <v>587.7941164401858</v>
      </c>
      <c r="I6">
        <v>595.76785447921714</v>
      </c>
      <c r="J6" s="4" t="s">
        <v>14</v>
      </c>
      <c r="K6" s="4" t="s">
        <v>15</v>
      </c>
      <c r="L6">
        <v>1.9999490679433638</v>
      </c>
      <c r="M6">
        <v>4.2900000000000008E-2</v>
      </c>
      <c r="O6">
        <f t="shared" si="0"/>
        <v>1.6898128331615934</v>
      </c>
      <c r="P6">
        <f t="shared" si="1"/>
        <v>42.900000000000006</v>
      </c>
    </row>
    <row r="7" spans="1:16">
      <c r="A7">
        <v>6</v>
      </c>
      <c r="B7">
        <v>110270</v>
      </c>
      <c r="C7">
        <v>1498950</v>
      </c>
      <c r="D7">
        <v>1491455.25</v>
      </c>
      <c r="E7">
        <v>1506444.75</v>
      </c>
      <c r="F7">
        <v>373.7</v>
      </c>
      <c r="G7">
        <v>594.85034879939758</v>
      </c>
      <c r="H7">
        <v>590.84168416724731</v>
      </c>
      <c r="I7">
        <v>598.85792822320354</v>
      </c>
      <c r="J7" s="4" t="s">
        <v>14</v>
      </c>
      <c r="K7" s="4" t="s">
        <v>15</v>
      </c>
      <c r="L7">
        <v>1.9999490679433638</v>
      </c>
      <c r="M7">
        <v>4.7200000000000006E-2</v>
      </c>
      <c r="O7">
        <f t="shared" si="0"/>
        <v>1.6810950889048428</v>
      </c>
      <c r="P7">
        <f t="shared" si="1"/>
        <v>47.2</v>
      </c>
    </row>
    <row r="8" spans="1:16">
      <c r="A8">
        <v>7</v>
      </c>
      <c r="B8">
        <v>110440.00000000001</v>
      </c>
      <c r="C8">
        <v>1487400</v>
      </c>
      <c r="D8">
        <v>1479963</v>
      </c>
      <c r="E8">
        <v>1494837</v>
      </c>
      <c r="F8">
        <v>387.47</v>
      </c>
      <c r="G8">
        <v>613.53215661664296</v>
      </c>
      <c r="H8">
        <v>609.38650502954715</v>
      </c>
      <c r="I8">
        <v>617.67655208026861</v>
      </c>
      <c r="J8" s="4" t="s">
        <v>14</v>
      </c>
      <c r="K8" s="4" t="s">
        <v>15</v>
      </c>
      <c r="L8">
        <v>1.9999490679433638</v>
      </c>
      <c r="M8">
        <v>2.6099999999999998E-2</v>
      </c>
      <c r="O8">
        <f t="shared" si="0"/>
        <v>1.6299064184582521</v>
      </c>
      <c r="P8">
        <f t="shared" si="1"/>
        <v>26.099999999999998</v>
      </c>
    </row>
    <row r="9" spans="1:16">
      <c r="A9">
        <v>8</v>
      </c>
      <c r="B9">
        <v>110340.00000000001</v>
      </c>
      <c r="C9">
        <v>1452150.8</v>
      </c>
      <c r="D9">
        <v>1444890.0460000001</v>
      </c>
      <c r="E9">
        <v>1459411.554</v>
      </c>
      <c r="F9">
        <v>352.18</v>
      </c>
      <c r="G9">
        <v>560.74934838431182</v>
      </c>
      <c r="H9">
        <v>556.98049783052272</v>
      </c>
      <c r="I9">
        <v>564.51736537307602</v>
      </c>
      <c r="J9" s="4" t="s">
        <v>14</v>
      </c>
      <c r="K9" s="4" t="s">
        <v>16</v>
      </c>
      <c r="L9">
        <v>1.9999490679433638</v>
      </c>
      <c r="M9">
        <v>0.16839999999999999</v>
      </c>
      <c r="O9">
        <f t="shared" si="0"/>
        <v>1.78332797511277</v>
      </c>
      <c r="P9">
        <f t="shared" si="1"/>
        <v>168.4</v>
      </c>
    </row>
    <row r="10" spans="1:16">
      <c r="A10">
        <v>9</v>
      </c>
      <c r="B10">
        <v>110390.00000000001</v>
      </c>
      <c r="C10">
        <v>1440487.5999999999</v>
      </c>
      <c r="D10">
        <v>1433285.162</v>
      </c>
      <c r="E10">
        <v>1447690.0379999997</v>
      </c>
      <c r="F10">
        <v>352.18</v>
      </c>
      <c r="G10">
        <v>559.93025056395197</v>
      </c>
      <c r="H10">
        <v>556.16571774077272</v>
      </c>
      <c r="I10">
        <v>563.69395614800965</v>
      </c>
      <c r="J10" s="4" t="s">
        <v>14</v>
      </c>
      <c r="K10" s="4" t="s">
        <v>16</v>
      </c>
      <c r="L10">
        <v>1.9999490679433638</v>
      </c>
      <c r="M10">
        <v>0.18445</v>
      </c>
      <c r="O10">
        <f t="shared" si="0"/>
        <v>1.7859367287136523</v>
      </c>
      <c r="P10">
        <f t="shared" si="1"/>
        <v>184.45</v>
      </c>
    </row>
    <row r="11" spans="1:16">
      <c r="A11">
        <v>10</v>
      </c>
      <c r="B11">
        <v>110270</v>
      </c>
      <c r="C11">
        <v>1434470</v>
      </c>
      <c r="D11">
        <v>1427297.65</v>
      </c>
      <c r="E11">
        <v>1441642.35</v>
      </c>
      <c r="F11">
        <v>366.12</v>
      </c>
      <c r="G11">
        <v>579.46552032568297</v>
      </c>
      <c r="H11">
        <v>575.55823723727008</v>
      </c>
      <c r="I11">
        <v>583.37184547962488</v>
      </c>
      <c r="J11" s="4" t="s">
        <v>14</v>
      </c>
      <c r="K11" s="4" t="s">
        <v>16</v>
      </c>
      <c r="L11">
        <v>1.9999490679433638</v>
      </c>
      <c r="M11">
        <v>9.1849999999999987E-2</v>
      </c>
      <c r="O11">
        <f t="shared" si="0"/>
        <v>1.725728218372613</v>
      </c>
      <c r="P11">
        <f t="shared" si="1"/>
        <v>91.85</v>
      </c>
    </row>
    <row r="12" spans="1:16">
      <c r="A12">
        <v>11</v>
      </c>
      <c r="B12">
        <v>109940.00000000001</v>
      </c>
      <c r="C12">
        <v>1410740</v>
      </c>
      <c r="D12">
        <v>1403686.3</v>
      </c>
      <c r="E12">
        <v>1417793.7</v>
      </c>
      <c r="F12">
        <v>381.42</v>
      </c>
      <c r="G12">
        <v>599.90036799920199</v>
      </c>
      <c r="H12">
        <v>595.84297533966185</v>
      </c>
      <c r="I12">
        <v>603.95663778628034</v>
      </c>
      <c r="J12" s="4" t="s">
        <v>14</v>
      </c>
      <c r="K12" s="4" t="s">
        <v>16</v>
      </c>
      <c r="L12">
        <v>1.9999490679433638</v>
      </c>
      <c r="M12">
        <v>6.3149999999999998E-2</v>
      </c>
      <c r="O12">
        <f t="shared" si="0"/>
        <v>1.6669434681882547</v>
      </c>
      <c r="P12">
        <f t="shared" si="1"/>
        <v>63.15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66BC-ABA8-4355-9E5E-5A5C07CCA8ED}">
  <sheetPr>
    <tabColor theme="4"/>
  </sheetPr>
  <dimension ref="A1:K143"/>
  <sheetViews>
    <sheetView workbookViewId="0"/>
  </sheetViews>
  <sheetFormatPr defaultRowHeight="15"/>
  <cols>
    <col min="1" max="2" width="10.5703125" customWidth="1"/>
    <col min="3" max="3" width="12.85546875" customWidth="1"/>
    <col min="5" max="6" width="10.5703125" customWidth="1"/>
    <col min="7" max="7" width="13" customWidth="1"/>
    <col min="9" max="10" width="10.5703125" customWidth="1"/>
    <col min="11" max="11" width="13.85546875" customWidth="1"/>
  </cols>
  <sheetData>
    <row r="1" spans="1:11">
      <c r="A1" t="s">
        <v>20</v>
      </c>
      <c r="B1" t="s">
        <v>21</v>
      </c>
      <c r="E1" t="s">
        <v>20</v>
      </c>
      <c r="F1" t="s">
        <v>21</v>
      </c>
      <c r="I1" t="s">
        <v>20</v>
      </c>
      <c r="J1" t="s">
        <v>27</v>
      </c>
    </row>
    <row r="2" spans="1:11">
      <c r="A2" t="s">
        <v>2</v>
      </c>
      <c r="B2">
        <v>363.7</v>
      </c>
      <c r="C2" s="8" t="s">
        <v>30</v>
      </c>
      <c r="E2" t="s">
        <v>2</v>
      </c>
      <c r="F2">
        <v>364.15</v>
      </c>
      <c r="G2" s="8" t="s">
        <v>30</v>
      </c>
      <c r="I2" t="s">
        <v>2</v>
      </c>
      <c r="J2">
        <v>335.77</v>
      </c>
      <c r="K2" s="8" t="s">
        <v>30</v>
      </c>
    </row>
    <row r="3" spans="1:11">
      <c r="A3" s="9" t="s">
        <v>25</v>
      </c>
      <c r="B3" s="9" t="s">
        <v>26</v>
      </c>
      <c r="C3" s="10"/>
      <c r="D3" s="10"/>
      <c r="E3" s="9" t="s">
        <v>25</v>
      </c>
      <c r="F3" s="9" t="s">
        <v>28</v>
      </c>
      <c r="G3" s="10"/>
      <c r="H3" s="10"/>
      <c r="I3" s="9" t="s">
        <v>29</v>
      </c>
      <c r="J3" s="9" t="s">
        <v>28</v>
      </c>
    </row>
    <row r="4" spans="1:11">
      <c r="A4" t="s">
        <v>22</v>
      </c>
      <c r="B4" t="s">
        <v>23</v>
      </c>
      <c r="C4" t="s">
        <v>24</v>
      </c>
      <c r="E4" t="s">
        <v>22</v>
      </c>
      <c r="F4" t="s">
        <v>23</v>
      </c>
      <c r="G4" t="s">
        <v>24</v>
      </c>
      <c r="I4" t="s">
        <v>22</v>
      </c>
      <c r="J4" t="s">
        <v>23</v>
      </c>
      <c r="K4" t="s">
        <v>24</v>
      </c>
    </row>
    <row r="5" spans="1:11">
      <c r="A5">
        <v>0</v>
      </c>
      <c r="B5">
        <v>4.5400763959641802E-4</v>
      </c>
      <c r="C5">
        <v>61631</v>
      </c>
      <c r="E5">
        <v>0</v>
      </c>
      <c r="F5">
        <v>4.5473382566954697E-4</v>
      </c>
      <c r="G5">
        <v>110210</v>
      </c>
      <c r="I5">
        <v>0</v>
      </c>
      <c r="J5">
        <v>4.5471016150155902E-4</v>
      </c>
      <c r="K5">
        <v>99978</v>
      </c>
    </row>
    <row r="6" spans="1:11">
      <c r="A6">
        <v>7.4999999999999997E-3</v>
      </c>
      <c r="B6">
        <v>4.5400763959641802E-4</v>
      </c>
      <c r="C6">
        <v>61631</v>
      </c>
      <c r="E6">
        <v>7.4999999999999997E-3</v>
      </c>
      <c r="F6">
        <v>4.5473382566954697E-4</v>
      </c>
      <c r="G6">
        <v>110210</v>
      </c>
      <c r="I6">
        <v>7.4999999999999997E-3</v>
      </c>
      <c r="J6">
        <v>4.5471016150155902E-4</v>
      </c>
      <c r="K6">
        <v>99978</v>
      </c>
    </row>
    <row r="7" spans="1:11">
      <c r="A7">
        <v>1.4999999999999999E-2</v>
      </c>
      <c r="B7">
        <v>4.5400763959641802E-4</v>
      </c>
      <c r="C7">
        <v>61631</v>
      </c>
      <c r="E7">
        <v>1.4999999999999999E-2</v>
      </c>
      <c r="F7">
        <v>4.54733825669548E-4</v>
      </c>
      <c r="G7">
        <v>110210</v>
      </c>
      <c r="I7">
        <v>1.4999999999999999E-2</v>
      </c>
      <c r="J7">
        <v>4.5471016150155902E-4</v>
      </c>
      <c r="K7">
        <v>99978</v>
      </c>
    </row>
    <row r="8" spans="1:11">
      <c r="A8">
        <v>2.2499999999999999E-2</v>
      </c>
      <c r="B8">
        <v>4.5272846917200301E-4</v>
      </c>
      <c r="C8">
        <v>61847.888888888898</v>
      </c>
      <c r="E8">
        <v>2.2499999999999999E-2</v>
      </c>
      <c r="F8">
        <v>4.54733825669548E-4</v>
      </c>
      <c r="G8">
        <v>110210</v>
      </c>
      <c r="I8">
        <v>2.2499999999999999E-2</v>
      </c>
      <c r="J8">
        <v>4.5471016150155902E-4</v>
      </c>
      <c r="K8">
        <v>99978</v>
      </c>
    </row>
    <row r="9" spans="1:11">
      <c r="A9">
        <v>2.325E-2</v>
      </c>
      <c r="B9">
        <v>4.5146535029650802E-4</v>
      </c>
      <c r="C9">
        <v>62063.401282304403</v>
      </c>
      <c r="E9">
        <v>2.5000000000000001E-2</v>
      </c>
      <c r="F9">
        <v>4.5187703160590902E-4</v>
      </c>
      <c r="G9">
        <v>111078.119789264</v>
      </c>
      <c r="I9">
        <v>2.325E-2</v>
      </c>
      <c r="J9">
        <v>4.5349867495023398E-4</v>
      </c>
      <c r="K9">
        <v>100337.43279302699</v>
      </c>
    </row>
    <row r="10" spans="1:11">
      <c r="A10">
        <v>2.4E-2</v>
      </c>
      <c r="B10">
        <v>4.51462355465914E-4</v>
      </c>
      <c r="C10">
        <v>62063.913845312098</v>
      </c>
      <c r="E10">
        <v>2.5749999999999999E-2</v>
      </c>
      <c r="F10">
        <v>4.4999979849158202E-4</v>
      </c>
      <c r="G10">
        <v>111655.25717660799</v>
      </c>
      <c r="I10">
        <v>2.4E-2</v>
      </c>
      <c r="J10">
        <v>4.5325315382680902E-4</v>
      </c>
      <c r="K10">
        <v>100410.54815543701</v>
      </c>
    </row>
    <row r="11" spans="1:11">
      <c r="A11">
        <v>2.4750000000000001E-2</v>
      </c>
      <c r="B11">
        <v>4.5070455007919401E-4</v>
      </c>
      <c r="C11">
        <v>62193.857438766703</v>
      </c>
      <c r="E11">
        <v>2.6499999999999999E-2</v>
      </c>
      <c r="F11">
        <v>4.4817201024041202E-4</v>
      </c>
      <c r="G11">
        <v>112222.374663562</v>
      </c>
      <c r="I11">
        <v>2.4750000000000001E-2</v>
      </c>
      <c r="J11">
        <v>4.5281541941612398E-4</v>
      </c>
      <c r="K11">
        <v>100541.133824676</v>
      </c>
    </row>
    <row r="12" spans="1:11">
      <c r="A12">
        <v>2.5499999999999998E-2</v>
      </c>
      <c r="B12">
        <v>4.5095580730841398E-4</v>
      </c>
      <c r="C12">
        <v>62150.720227944301</v>
      </c>
      <c r="E12">
        <v>2.725E-2</v>
      </c>
      <c r="F12">
        <v>4.4529882848524401E-4</v>
      </c>
      <c r="G12">
        <v>113124.367201752</v>
      </c>
      <c r="I12">
        <v>2.5499999999999998E-2</v>
      </c>
      <c r="J12">
        <v>4.5252307003493101E-4</v>
      </c>
      <c r="K12">
        <v>100628.512004597</v>
      </c>
    </row>
    <row r="13" spans="1:11">
      <c r="A13">
        <v>2.6249999999999999E-2</v>
      </c>
      <c r="B13">
        <v>4.5019697539851899E-4</v>
      </c>
      <c r="C13">
        <v>62281.166611480003</v>
      </c>
      <c r="E13">
        <v>2.8000000000000001E-2</v>
      </c>
      <c r="F13">
        <v>4.4258586528799702E-4</v>
      </c>
      <c r="G13">
        <v>113988.052506266</v>
      </c>
      <c r="I13">
        <v>2.6249999999999999E-2</v>
      </c>
      <c r="J13">
        <v>4.5166850679332103E-4</v>
      </c>
      <c r="K13">
        <v>100884.68492056501</v>
      </c>
    </row>
    <row r="14" spans="1:11">
      <c r="A14">
        <v>2.7E-2</v>
      </c>
      <c r="B14">
        <v>4.47735679891304E-4</v>
      </c>
      <c r="C14">
        <v>62707.680267996097</v>
      </c>
      <c r="E14">
        <v>2.8750000000000001E-2</v>
      </c>
      <c r="F14">
        <v>4.3976132471527398E-4</v>
      </c>
      <c r="G14">
        <v>114899.893083581</v>
      </c>
      <c r="I14">
        <v>2.7E-2</v>
      </c>
      <c r="J14">
        <v>4.5024412557746101E-4</v>
      </c>
      <c r="K14">
        <v>101314.19828094701</v>
      </c>
    </row>
    <row r="15" spans="1:11">
      <c r="A15">
        <v>2.775E-2</v>
      </c>
      <c r="B15">
        <v>4.4599532034308499E-4</v>
      </c>
      <c r="C15">
        <v>63012.429918072201</v>
      </c>
      <c r="E15">
        <v>2.9499999999999998E-2</v>
      </c>
      <c r="F15">
        <v>4.3624727494525798E-4</v>
      </c>
      <c r="G15">
        <v>116052.73111205699</v>
      </c>
      <c r="I15">
        <v>2.775E-2</v>
      </c>
      <c r="J15">
        <v>4.4798163686495099E-4</v>
      </c>
      <c r="K15">
        <v>102003.000692291</v>
      </c>
    </row>
    <row r="16" spans="1:11">
      <c r="A16">
        <v>2.8500000000000001E-2</v>
      </c>
      <c r="B16">
        <v>4.4309551333951202E-4</v>
      </c>
      <c r="C16">
        <v>63526.149793232202</v>
      </c>
      <c r="E16">
        <v>3.0249999999999999E-2</v>
      </c>
      <c r="F16">
        <v>4.3261122163882801E-4</v>
      </c>
      <c r="G16">
        <v>117267.59544339</v>
      </c>
      <c r="I16">
        <v>2.8500000000000001E-2</v>
      </c>
      <c r="J16">
        <v>4.4464851309535198E-4</v>
      </c>
      <c r="K16">
        <v>103032.681056289</v>
      </c>
    </row>
    <row r="17" spans="1:11">
      <c r="A17">
        <v>2.9250000000000002E-2</v>
      </c>
      <c r="B17">
        <v>4.39025076665821E-4</v>
      </c>
      <c r="C17">
        <v>64260.045351389002</v>
      </c>
      <c r="E17">
        <v>3.1E-2</v>
      </c>
      <c r="F17">
        <v>4.2860326404752902E-4</v>
      </c>
      <c r="G17">
        <v>118633.377438125</v>
      </c>
      <c r="I17">
        <v>2.9250000000000002E-2</v>
      </c>
      <c r="J17">
        <v>4.40641986815547E-4</v>
      </c>
      <c r="K17">
        <v>104294.48747841299</v>
      </c>
    </row>
    <row r="18" spans="1:11">
      <c r="A18">
        <v>0.03</v>
      </c>
      <c r="B18">
        <v>4.3430862148809E-4</v>
      </c>
      <c r="C18">
        <v>65129.630315871203</v>
      </c>
      <c r="E18">
        <v>3.175E-2</v>
      </c>
      <c r="F18">
        <v>4.2403537103020701E-4</v>
      </c>
      <c r="G18">
        <v>120225.114029299</v>
      </c>
      <c r="I18">
        <v>0.03</v>
      </c>
      <c r="J18">
        <v>4.3701821939758502E-4</v>
      </c>
      <c r="K18">
        <v>105459.020530885</v>
      </c>
    </row>
    <row r="19" spans="1:11">
      <c r="A19">
        <v>3.075E-2</v>
      </c>
      <c r="B19">
        <v>4.3067137584707502E-4</v>
      </c>
      <c r="C19">
        <v>65814.742204187904</v>
      </c>
      <c r="E19">
        <v>3.2500000000000001E-2</v>
      </c>
      <c r="F19">
        <v>4.1871390774968502E-4</v>
      </c>
      <c r="G19">
        <v>122128.34763600701</v>
      </c>
      <c r="I19">
        <v>3.075E-2</v>
      </c>
      <c r="J19">
        <v>4.32417987868363E-4</v>
      </c>
      <c r="K19">
        <v>106970.219556828</v>
      </c>
    </row>
    <row r="20" spans="1:11">
      <c r="A20">
        <v>3.15E-2</v>
      </c>
      <c r="B20">
        <v>4.2430776109831899E-4</v>
      </c>
      <c r="C20">
        <v>67044.9903515888</v>
      </c>
      <c r="E20">
        <v>3.3250000000000002E-2</v>
      </c>
      <c r="F20">
        <v>4.1296239817807602E-4</v>
      </c>
      <c r="G20">
        <v>124246.971165978</v>
      </c>
      <c r="I20">
        <v>3.15E-2</v>
      </c>
      <c r="J20">
        <v>4.2717627641122001E-4</v>
      </c>
      <c r="K20">
        <v>108738.527445067</v>
      </c>
    </row>
    <row r="21" spans="1:11">
      <c r="A21">
        <v>3.2250000000000001E-2</v>
      </c>
      <c r="B21">
        <v>4.1789848394709902E-4</v>
      </c>
      <c r="C21">
        <v>68326.354707311897</v>
      </c>
      <c r="E21">
        <v>3.4000000000000002E-2</v>
      </c>
      <c r="F21">
        <v>4.0670279049597998E-4</v>
      </c>
      <c r="G21">
        <v>126628.79578045</v>
      </c>
      <c r="I21">
        <v>3.2250000000000001E-2</v>
      </c>
      <c r="J21">
        <v>4.2232692900716898E-4</v>
      </c>
      <c r="K21">
        <v>110420.140265811</v>
      </c>
    </row>
    <row r="22" spans="1:11">
      <c r="A22">
        <v>3.3000000000000002E-2</v>
      </c>
      <c r="B22">
        <v>4.1153574366959399E-4</v>
      </c>
      <c r="C22">
        <v>69642.492373904795</v>
      </c>
      <c r="E22">
        <v>3.4750000000000003E-2</v>
      </c>
      <c r="F22">
        <v>4.0058727788341598E-4</v>
      </c>
      <c r="G22">
        <v>129036.029240741</v>
      </c>
      <c r="I22">
        <v>3.3000000000000002E-2</v>
      </c>
      <c r="J22">
        <v>4.1652494884626402E-4</v>
      </c>
      <c r="K22">
        <v>112492.25828223</v>
      </c>
    </row>
    <row r="23" spans="1:11">
      <c r="A23">
        <v>3.3750000000000002E-2</v>
      </c>
      <c r="B23">
        <v>4.04297930893209E-4</v>
      </c>
      <c r="C23">
        <v>71195.901078302602</v>
      </c>
      <c r="E23">
        <v>3.5499999999999997E-2</v>
      </c>
      <c r="F23">
        <v>3.9382148524210402E-4</v>
      </c>
      <c r="G23">
        <v>131796.50456309601</v>
      </c>
      <c r="I23">
        <v>3.3750000000000002E-2</v>
      </c>
      <c r="J23">
        <v>4.0999601064672399E-4</v>
      </c>
      <c r="K23">
        <v>114906.013383399</v>
      </c>
    </row>
    <row r="24" spans="1:11">
      <c r="A24">
        <v>3.4500000000000003E-2</v>
      </c>
      <c r="B24">
        <v>3.9651001148372698E-4</v>
      </c>
      <c r="C24">
        <v>72938.129458650801</v>
      </c>
      <c r="E24">
        <v>3.6249999999999998E-2</v>
      </c>
      <c r="F24">
        <v>3.8678845320133502E-4</v>
      </c>
      <c r="G24">
        <v>134780.31345980201</v>
      </c>
      <c r="I24">
        <v>3.4500000000000003E-2</v>
      </c>
      <c r="J24">
        <v>4.0326746623506099E-4</v>
      </c>
      <c r="K24">
        <v>117489.186234373</v>
      </c>
    </row>
    <row r="25" spans="1:11">
      <c r="A25">
        <v>3.5249999999999997E-2</v>
      </c>
      <c r="B25">
        <v>3.8852743845725699E-4</v>
      </c>
      <c r="C25">
        <v>74804.860919610597</v>
      </c>
      <c r="E25">
        <v>3.6999999999999998E-2</v>
      </c>
      <c r="F25">
        <v>3.7955191778066201E-4</v>
      </c>
      <c r="G25">
        <v>137979.32879561599</v>
      </c>
      <c r="I25">
        <v>3.5249999999999997E-2</v>
      </c>
      <c r="J25">
        <v>3.9638005170832702E-4</v>
      </c>
      <c r="K25">
        <v>120239.55648270401</v>
      </c>
    </row>
    <row r="26" spans="1:11">
      <c r="A26">
        <v>3.5999999999999997E-2</v>
      </c>
      <c r="B26">
        <v>3.80812519713948E-4</v>
      </c>
      <c r="C26">
        <v>76692.036462008095</v>
      </c>
      <c r="E26">
        <v>3.7749999999999999E-2</v>
      </c>
      <c r="F26">
        <v>3.7190295238677802E-4</v>
      </c>
      <c r="G26">
        <v>141511.78573878299</v>
      </c>
      <c r="I26">
        <v>3.5999999999999997E-2</v>
      </c>
      <c r="J26">
        <v>3.8833423353454701E-4</v>
      </c>
      <c r="K26">
        <v>123597.075533172</v>
      </c>
    </row>
    <row r="27" spans="1:11">
      <c r="A27">
        <v>3.6749999999999998E-2</v>
      </c>
      <c r="B27">
        <v>3.7140991995476098E-4</v>
      </c>
      <c r="C27">
        <v>79110.517607752801</v>
      </c>
      <c r="E27">
        <v>3.85E-2</v>
      </c>
      <c r="F27">
        <v>3.6390693389158E-4</v>
      </c>
      <c r="G27">
        <v>145381.790852295</v>
      </c>
      <c r="I27">
        <v>3.6749999999999998E-2</v>
      </c>
      <c r="J27">
        <v>3.7981707802596802E-4</v>
      </c>
      <c r="K27">
        <v>127332.627041072</v>
      </c>
    </row>
    <row r="28" spans="1:11">
      <c r="A28">
        <v>3.7499999999999999E-2</v>
      </c>
      <c r="B28">
        <v>3.6209018030787201E-4</v>
      </c>
      <c r="C28">
        <v>81646.138154561093</v>
      </c>
      <c r="E28">
        <v>3.925E-2</v>
      </c>
      <c r="F28">
        <v>3.55402857027476E-4</v>
      </c>
      <c r="G28">
        <v>149711.091389657</v>
      </c>
      <c r="I28">
        <v>3.7499999999999999E-2</v>
      </c>
      <c r="J28">
        <v>3.71259197592158E-4</v>
      </c>
      <c r="K28">
        <v>131287.99613465799</v>
      </c>
    </row>
    <row r="29" spans="1:11">
      <c r="A29">
        <v>3.8249999999999999E-2</v>
      </c>
      <c r="B29">
        <v>3.51510010692266E-4</v>
      </c>
      <c r="C29">
        <v>84706.830070985001</v>
      </c>
      <c r="E29">
        <v>0.04</v>
      </c>
      <c r="F29">
        <v>3.4652069896636602E-4</v>
      </c>
      <c r="G29">
        <v>154486.23556571401</v>
      </c>
      <c r="I29">
        <v>3.8249999999999999E-2</v>
      </c>
      <c r="J29">
        <v>3.6195953649345803E-4</v>
      </c>
      <c r="K29">
        <v>135834.38431871799</v>
      </c>
    </row>
    <row r="30" spans="1:11">
      <c r="A30">
        <v>3.9E-2</v>
      </c>
      <c r="B30">
        <v>3.4113047725007202E-4</v>
      </c>
      <c r="C30">
        <v>87915.595042626504</v>
      </c>
      <c r="E30">
        <v>4.0750000000000001E-2</v>
      </c>
      <c r="F30">
        <v>3.3715636009770602E-4</v>
      </c>
      <c r="G30">
        <v>159824.909066819</v>
      </c>
      <c r="I30">
        <v>3.9E-2</v>
      </c>
      <c r="J30">
        <v>3.5203726116804702E-4</v>
      </c>
      <c r="K30">
        <v>140995.19580265999</v>
      </c>
    </row>
    <row r="31" spans="1:11">
      <c r="A31">
        <v>3.9750000000000001E-2</v>
      </c>
      <c r="B31">
        <v>3.3005025525942002E-4</v>
      </c>
      <c r="C31">
        <v>91589.8819219055</v>
      </c>
      <c r="E31">
        <v>4.1500000000000002E-2</v>
      </c>
      <c r="F31">
        <v>3.2758765876795301E-4</v>
      </c>
      <c r="G31">
        <v>165632.20741901299</v>
      </c>
      <c r="I31">
        <v>3.9750000000000001E-2</v>
      </c>
      <c r="J31">
        <v>3.4180195963210802E-4</v>
      </c>
      <c r="K31">
        <v>146686.355486927</v>
      </c>
    </row>
    <row r="32" spans="1:11">
      <c r="A32">
        <v>4.0500000000000001E-2</v>
      </c>
      <c r="B32">
        <v>3.1855242092649998E-4</v>
      </c>
      <c r="C32">
        <v>95704.679184357403</v>
      </c>
      <c r="E32">
        <v>4.2250000000000003E-2</v>
      </c>
      <c r="F32">
        <v>3.1748549544974303E-4</v>
      </c>
      <c r="G32">
        <v>172187.593562731</v>
      </c>
      <c r="I32">
        <v>4.0500000000000001E-2</v>
      </c>
      <c r="J32">
        <v>3.3116156446288199E-4</v>
      </c>
      <c r="K32">
        <v>153039.434267089</v>
      </c>
    </row>
    <row r="33" spans="1:11">
      <c r="A33">
        <v>4.1250000000000002E-2</v>
      </c>
      <c r="B33">
        <v>3.0651030018153302E-4</v>
      </c>
      <c r="C33">
        <v>100384.23180955301</v>
      </c>
      <c r="E33">
        <v>4.2999999999999997E-2</v>
      </c>
      <c r="F33">
        <v>3.0738898407366399E-4</v>
      </c>
      <c r="G33">
        <v>179220.12772014199</v>
      </c>
      <c r="I33">
        <v>4.1250000000000002E-2</v>
      </c>
      <c r="J33">
        <v>3.1986692641956501E-4</v>
      </c>
      <c r="K33">
        <v>160324.77173698501</v>
      </c>
    </row>
    <row r="34" spans="1:11">
      <c r="A34">
        <v>4.2000000000000003E-2</v>
      </c>
      <c r="B34">
        <v>2.9469518808755203E-4</v>
      </c>
      <c r="C34">
        <v>105390.951110899</v>
      </c>
      <c r="E34">
        <v>4.3749999999999997E-2</v>
      </c>
      <c r="F34">
        <v>2.9677355546749601E-4</v>
      </c>
      <c r="G34">
        <v>187190.553642285</v>
      </c>
      <c r="I34">
        <v>4.2000000000000003E-2</v>
      </c>
      <c r="J34">
        <v>3.0848847107817998E-4</v>
      </c>
      <c r="K34">
        <v>168295.94233376699</v>
      </c>
    </row>
    <row r="35" spans="1:11">
      <c r="A35">
        <v>4.2750000000000003E-2</v>
      </c>
      <c r="B35">
        <v>2.8192107767200698E-4</v>
      </c>
      <c r="C35">
        <v>111331.936023956</v>
      </c>
      <c r="E35">
        <v>4.4499999999999998E-2</v>
      </c>
      <c r="F35">
        <v>2.8584599268419099E-4</v>
      </c>
      <c r="G35">
        <v>196086.124214521</v>
      </c>
      <c r="I35">
        <v>4.2750000000000003E-2</v>
      </c>
      <c r="J35">
        <v>2.96509740592214E-4</v>
      </c>
      <c r="K35">
        <v>177462.10206755699</v>
      </c>
    </row>
    <row r="36" spans="1:11">
      <c r="A36">
        <v>4.3499999999999997E-2</v>
      </c>
      <c r="B36">
        <v>2.6879506814721102E-4</v>
      </c>
      <c r="C36">
        <v>118094.301304405</v>
      </c>
      <c r="E36">
        <v>4.5249999999999999E-2</v>
      </c>
      <c r="F36">
        <v>2.7457073057086403E-4</v>
      </c>
      <c r="G36">
        <v>206093.96850842299</v>
      </c>
      <c r="I36">
        <v>4.3499999999999997E-2</v>
      </c>
      <c r="J36">
        <v>2.8431330712730797E-4</v>
      </c>
      <c r="K36">
        <v>187724.672940958</v>
      </c>
    </row>
    <row r="37" spans="1:11">
      <c r="A37">
        <v>4.4249999999999998E-2</v>
      </c>
      <c r="B37">
        <v>2.5589869227244402E-4</v>
      </c>
      <c r="C37">
        <v>125493.701322108</v>
      </c>
      <c r="E37">
        <v>4.5999999999999999E-2</v>
      </c>
      <c r="F37">
        <v>2.63410651052321E-4</v>
      </c>
      <c r="G37">
        <v>216942.02745454299</v>
      </c>
      <c r="I37">
        <v>4.4249999999999998E-2</v>
      </c>
      <c r="J37">
        <v>2.7193173170655098E-4</v>
      </c>
      <c r="K37">
        <v>199246.49481430199</v>
      </c>
    </row>
    <row r="38" spans="1:11">
      <c r="A38">
        <v>4.4999999999999998E-2</v>
      </c>
      <c r="B38">
        <v>2.4222492932507E-4</v>
      </c>
      <c r="C38">
        <v>134301.67563773799</v>
      </c>
      <c r="E38">
        <v>4.675E-2</v>
      </c>
      <c r="F38">
        <v>2.5163534807781202E-4</v>
      </c>
      <c r="G38">
        <v>229553.883005182</v>
      </c>
      <c r="I38">
        <v>4.4999999999999998E-2</v>
      </c>
      <c r="J38">
        <v>2.59170511955211E-4</v>
      </c>
      <c r="K38">
        <v>212471.98032104</v>
      </c>
    </row>
    <row r="39" spans="1:11">
      <c r="A39">
        <v>4.5749999999999999E-2</v>
      </c>
      <c r="B39">
        <v>2.2795229829841699E-4</v>
      </c>
      <c r="C39">
        <v>144756.500739654</v>
      </c>
      <c r="E39">
        <v>4.7500000000000001E-2</v>
      </c>
      <c r="F39">
        <v>2.3973194778841001E-4</v>
      </c>
      <c r="G39">
        <v>243710.05743337501</v>
      </c>
      <c r="I39">
        <v>4.5749999999999999E-2</v>
      </c>
      <c r="J39">
        <v>2.46088088130118E-4</v>
      </c>
      <c r="K39">
        <v>227699.83138859601</v>
      </c>
    </row>
    <row r="40" spans="1:11">
      <c r="A40">
        <v>4.65E-2</v>
      </c>
      <c r="B40">
        <v>2.1378071000402099E-4</v>
      </c>
      <c r="C40">
        <v>156682.68951863601</v>
      </c>
      <c r="E40">
        <v>4.8250000000000001E-2</v>
      </c>
      <c r="F40">
        <v>2.27651624855259E-4</v>
      </c>
      <c r="G40">
        <v>259768.10659429399</v>
      </c>
      <c r="I40">
        <v>4.65E-2</v>
      </c>
      <c r="J40">
        <v>2.32844822733138E-4</v>
      </c>
      <c r="K40">
        <v>245158.79450380499</v>
      </c>
    </row>
    <row r="41" spans="1:11">
      <c r="A41">
        <v>4.725E-2</v>
      </c>
      <c r="B41">
        <v>1.9908107882760499E-4</v>
      </c>
      <c r="C41">
        <v>171061.43303828899</v>
      </c>
      <c r="E41">
        <v>4.9000000000000002E-2</v>
      </c>
      <c r="F41">
        <v>2.1540588428332899E-4</v>
      </c>
      <c r="G41">
        <v>278100.64643130399</v>
      </c>
      <c r="I41">
        <v>4.725E-2</v>
      </c>
      <c r="J41">
        <v>2.1942058622296599E-4</v>
      </c>
      <c r="K41">
        <v>265379.41818042699</v>
      </c>
    </row>
    <row r="42" spans="1:11">
      <c r="A42">
        <v>4.8000000000000001E-2</v>
      </c>
      <c r="B42">
        <v>1.8411008296517501E-4</v>
      </c>
      <c r="C42">
        <v>188348.37212374501</v>
      </c>
      <c r="E42">
        <v>4.9750000000000003E-2</v>
      </c>
      <c r="F42">
        <v>2.0282386761666499E-4</v>
      </c>
      <c r="G42">
        <v>299514.30914075201</v>
      </c>
      <c r="I42">
        <v>4.8000000000000001E-2</v>
      </c>
      <c r="J42">
        <v>2.0573330424161101E-4</v>
      </c>
      <c r="K42">
        <v>289184.48757474398</v>
      </c>
    </row>
    <row r="43" spans="1:11">
      <c r="A43">
        <v>4.8750000000000002E-2</v>
      </c>
      <c r="B43">
        <v>1.69102780979912E-4</v>
      </c>
      <c r="C43">
        <v>209118.48005706901</v>
      </c>
      <c r="E43">
        <v>5.0500000000000003E-2</v>
      </c>
      <c r="F43">
        <v>1.9032255769653301E-4</v>
      </c>
      <c r="G43">
        <v>323925.57191392902</v>
      </c>
      <c r="I43">
        <v>4.8750000000000002E-2</v>
      </c>
      <c r="J43">
        <v>1.9200529952755299E-4</v>
      </c>
      <c r="K43">
        <v>317062.04415549902</v>
      </c>
    </row>
    <row r="44" spans="1:11">
      <c r="A44">
        <v>4.9500000000000002E-2</v>
      </c>
      <c r="B44">
        <v>1.54144757844994E-4</v>
      </c>
      <c r="C44">
        <v>234330.18903953399</v>
      </c>
      <c r="E44">
        <v>5.1249999999999997E-2</v>
      </c>
      <c r="F44">
        <v>1.77724801236038E-4</v>
      </c>
      <c r="G44">
        <v>352409.94680760801</v>
      </c>
      <c r="I44">
        <v>4.9500000000000002E-2</v>
      </c>
      <c r="J44">
        <v>1.7806517230525501E-4</v>
      </c>
      <c r="K44">
        <v>350536.01490259502</v>
      </c>
    </row>
    <row r="45" spans="1:11">
      <c r="A45">
        <v>5.0250000000000003E-2</v>
      </c>
      <c r="B45">
        <v>1.39081492901505E-4</v>
      </c>
      <c r="C45">
        <v>265864.50478128198</v>
      </c>
      <c r="E45">
        <v>5.1999999999999998E-2</v>
      </c>
      <c r="F45">
        <v>1.6511815193340299E-4</v>
      </c>
      <c r="G45">
        <v>385780.84058631299</v>
      </c>
      <c r="I45">
        <v>5.0250000000000003E-2</v>
      </c>
      <c r="J45">
        <v>1.6425928109198401E-4</v>
      </c>
      <c r="K45">
        <v>390265.98891473003</v>
      </c>
    </row>
    <row r="46" spans="1:11">
      <c r="A46">
        <v>5.0999999999999997E-2</v>
      </c>
      <c r="B46">
        <v>1.2415651332572499E-4</v>
      </c>
      <c r="C46">
        <v>305577.13024531398</v>
      </c>
      <c r="E46">
        <v>5.2749999999999998E-2</v>
      </c>
      <c r="F46">
        <v>1.52516291393654E-4</v>
      </c>
      <c r="G46">
        <v>425307.23568389</v>
      </c>
      <c r="I46">
        <v>5.0999999999999997E-2</v>
      </c>
      <c r="J46">
        <v>1.50467682951649E-4</v>
      </c>
      <c r="K46">
        <v>438510.13775262801</v>
      </c>
    </row>
    <row r="47" spans="1:11">
      <c r="A47">
        <v>5.1749999999999997E-2</v>
      </c>
      <c r="B47">
        <v>1.0956340580313701E-4</v>
      </c>
      <c r="C47">
        <v>356152.77577813499</v>
      </c>
      <c r="E47">
        <v>5.3499999999999999E-2</v>
      </c>
      <c r="F47">
        <v>1.40014721373026E-4</v>
      </c>
      <c r="G47">
        <v>472386.10061652598</v>
      </c>
      <c r="I47">
        <v>5.1749999999999997E-2</v>
      </c>
      <c r="J47">
        <v>1.36865639719503E-4</v>
      </c>
      <c r="K47">
        <v>497288.51743110101</v>
      </c>
    </row>
    <row r="48" spans="1:11">
      <c r="A48">
        <v>5.2499999999999998E-2</v>
      </c>
      <c r="B48" s="6">
        <v>9.5608569765591597E-5</v>
      </c>
      <c r="C48">
        <v>420740.59067898698</v>
      </c>
      <c r="E48">
        <v>5.425E-2</v>
      </c>
      <c r="F48" s="6">
        <v>1.2770445063706301E-4</v>
      </c>
      <c r="G48">
        <v>528826.23349126603</v>
      </c>
      <c r="I48">
        <v>5.2499999999999998E-2</v>
      </c>
      <c r="J48" s="6">
        <v>1.23594310597703E-4</v>
      </c>
      <c r="K48">
        <v>569304.452597072</v>
      </c>
    </row>
    <row r="49" spans="1:11">
      <c r="A49">
        <v>5.3249999999999999E-2</v>
      </c>
      <c r="B49" s="6">
        <v>8.2554950412656896E-5</v>
      </c>
      <c r="C49">
        <v>503374.22655292798</v>
      </c>
      <c r="E49">
        <v>5.5E-2</v>
      </c>
      <c r="F49" s="6">
        <v>1.15726345125656E-4</v>
      </c>
      <c r="G49">
        <v>596647.48882702901</v>
      </c>
      <c r="I49">
        <v>5.3249999999999999E-2</v>
      </c>
      <c r="J49" s="6">
        <v>1.10908265920944E-4</v>
      </c>
      <c r="K49">
        <v>657097.08765263902</v>
      </c>
    </row>
    <row r="50" spans="1:11">
      <c r="A50">
        <v>5.3999999999999999E-2</v>
      </c>
      <c r="B50" s="6">
        <v>7.0966271872792397E-5</v>
      </c>
      <c r="C50">
        <v>605361.310589651</v>
      </c>
      <c r="E50">
        <v>5.5750000000000001E-2</v>
      </c>
      <c r="F50" s="6">
        <v>1.0424484838217101E-4</v>
      </c>
      <c r="G50">
        <v>678038.52980304998</v>
      </c>
      <c r="I50">
        <v>5.3999999999999999E-2</v>
      </c>
      <c r="J50" s="6">
        <v>9.9031607933737105E-5</v>
      </c>
      <c r="K50">
        <v>763264.37245200202</v>
      </c>
    </row>
    <row r="51" spans="1:11">
      <c r="A51">
        <v>5.475E-2</v>
      </c>
      <c r="B51" s="6">
        <v>5.9647188225046701E-5</v>
      </c>
      <c r="C51">
        <v>748027.13963657699</v>
      </c>
      <c r="E51">
        <v>5.6500000000000002E-2</v>
      </c>
      <c r="F51" s="6">
        <v>9.3515081799332798E-5</v>
      </c>
      <c r="G51">
        <v>774328.07763586997</v>
      </c>
      <c r="I51">
        <v>5.475E-2</v>
      </c>
      <c r="J51" s="6">
        <v>8.8267819712931607E-5</v>
      </c>
      <c r="K51">
        <v>888486.91525399196</v>
      </c>
    </row>
    <row r="52" spans="1:11">
      <c r="A52">
        <v>5.5500000000000001E-2</v>
      </c>
      <c r="B52" s="6">
        <v>5.11393286000833E-5</v>
      </c>
      <c r="C52">
        <v>901934.19957855204</v>
      </c>
      <c r="E52">
        <v>5.7250000000000002E-2</v>
      </c>
      <c r="F52" s="6">
        <v>8.3773564408775697E-5</v>
      </c>
      <c r="G52">
        <v>885657.91759473598</v>
      </c>
      <c r="I52">
        <v>5.5500000000000001E-2</v>
      </c>
      <c r="J52" s="6">
        <v>7.8959958348474106E-5</v>
      </c>
      <c r="K52">
        <v>1029063.9242685999</v>
      </c>
    </row>
    <row r="53" spans="1:11">
      <c r="A53">
        <v>5.6000000000000001E-2</v>
      </c>
      <c r="B53" s="6">
        <v>4.9004471871183099E-5</v>
      </c>
      <c r="C53">
        <v>949854.24040704302</v>
      </c>
      <c r="E53">
        <v>5.8000000000000003E-2</v>
      </c>
      <c r="F53" s="6">
        <v>7.5257439592537896E-5</v>
      </c>
      <c r="G53">
        <v>1009386.32602943</v>
      </c>
      <c r="I53">
        <v>5.6250000000000001E-2</v>
      </c>
      <c r="J53" s="6">
        <v>7.1377185457907906E-5</v>
      </c>
      <c r="K53">
        <v>1175288.93941131</v>
      </c>
    </row>
    <row r="54" spans="1:11">
      <c r="A54">
        <v>0.06</v>
      </c>
      <c r="B54" s="6">
        <v>5.54525288739247E-5</v>
      </c>
      <c r="C54">
        <v>817542.34653579094</v>
      </c>
      <c r="E54">
        <v>5.8749999999999997E-2</v>
      </c>
      <c r="F54" s="6">
        <v>6.8267609784315695E-5</v>
      </c>
      <c r="G54">
        <v>1136691.3353017899</v>
      </c>
      <c r="I54">
        <v>5.7000000000000002E-2</v>
      </c>
      <c r="J54" s="6">
        <v>6.5837785068708298E-5</v>
      </c>
      <c r="K54">
        <v>1306905.93834249</v>
      </c>
    </row>
    <row r="55" spans="1:11">
      <c r="A55">
        <v>6.4000000000000001E-2</v>
      </c>
      <c r="B55" s="6">
        <v>5.6657644485301901E-5</v>
      </c>
      <c r="C55">
        <v>796464.31885057106</v>
      </c>
      <c r="E55">
        <v>5.9499999999999997E-2</v>
      </c>
      <c r="F55" s="6">
        <v>6.3096106452835703E-5</v>
      </c>
      <c r="G55">
        <v>1251094.6228312701</v>
      </c>
      <c r="I55">
        <v>5.7750000000000003E-2</v>
      </c>
      <c r="J55" s="6">
        <v>6.2182906627347993E-5</v>
      </c>
      <c r="K55">
        <v>1408625.5901957401</v>
      </c>
    </row>
    <row r="56" spans="1:11">
      <c r="A56">
        <v>6.8000000000000005E-2</v>
      </c>
      <c r="B56" s="6">
        <v>5.7365425828048702E-5</v>
      </c>
      <c r="C56">
        <v>784538.84997569094</v>
      </c>
      <c r="E56">
        <v>6.0249999999999998E-2</v>
      </c>
      <c r="F56" s="6">
        <v>5.9659517653307297E-5</v>
      </c>
      <c r="G56">
        <v>1339295.3361573201</v>
      </c>
      <c r="I56">
        <v>5.8500000000000003E-2</v>
      </c>
      <c r="J56" s="6">
        <v>5.9355648974847498E-5</v>
      </c>
      <c r="K56">
        <v>1497243.51248411</v>
      </c>
    </row>
    <row r="57" spans="1:11">
      <c r="A57">
        <v>7.1999999999999995E-2</v>
      </c>
      <c r="B57" s="6">
        <v>5.7886532519505903E-5</v>
      </c>
      <c r="C57">
        <v>775963.88129324699</v>
      </c>
      <c r="E57">
        <v>6.0999999999999999E-2</v>
      </c>
      <c r="F57" s="6">
        <v>5.6937103235255401E-5</v>
      </c>
      <c r="G57">
        <v>1417544.69903672</v>
      </c>
      <c r="I57">
        <v>5.9249999999999997E-2</v>
      </c>
      <c r="J57" s="6">
        <v>5.8881765307131098E-5</v>
      </c>
      <c r="K57">
        <v>1513050.5566104001</v>
      </c>
    </row>
    <row r="58" spans="1:11">
      <c r="A58">
        <v>7.5999999999999998E-2</v>
      </c>
      <c r="B58" s="6">
        <v>5.82897827303429E-5</v>
      </c>
      <c r="C58">
        <v>769444.16956418299</v>
      </c>
      <c r="E58">
        <v>6.1749999999999999E-2</v>
      </c>
      <c r="F58" s="6">
        <v>5.6528846198958599E-5</v>
      </c>
      <c r="G58">
        <v>1429994.98235524</v>
      </c>
      <c r="I58">
        <v>5.935E-2</v>
      </c>
      <c r="J58" s="6">
        <v>5.9011092683306201E-5</v>
      </c>
      <c r="K58">
        <v>1508708.12426539</v>
      </c>
    </row>
    <row r="59" spans="1:11">
      <c r="A59">
        <v>0.08</v>
      </c>
      <c r="B59" s="6">
        <v>5.86366488657647E-5</v>
      </c>
      <c r="C59">
        <v>763915.11676138104</v>
      </c>
      <c r="E59">
        <v>6.2199999999999998E-2</v>
      </c>
      <c r="F59" s="6">
        <v>5.6652872088932901E-5</v>
      </c>
      <c r="G59">
        <v>1426191.9095886</v>
      </c>
      <c r="I59">
        <v>6.3350000000000004E-2</v>
      </c>
      <c r="J59" s="6">
        <v>6.1082281084394905E-5</v>
      </c>
      <c r="K59">
        <v>1442044.58788097</v>
      </c>
    </row>
    <row r="60" spans="1:11">
      <c r="A60">
        <v>8.4000000000000005E-2</v>
      </c>
      <c r="B60" s="6">
        <v>5.8948727092454799E-5</v>
      </c>
      <c r="C60">
        <v>759001.86468328</v>
      </c>
      <c r="E60">
        <v>6.6199999999999995E-2</v>
      </c>
      <c r="F60" s="6">
        <v>5.8521037065838501E-5</v>
      </c>
      <c r="G60">
        <v>1371060.9051511399</v>
      </c>
      <c r="I60">
        <v>6.7349999999999993E-2</v>
      </c>
      <c r="J60" s="6">
        <v>6.1926319177103194E-5</v>
      </c>
      <c r="K60">
        <v>1416336.6096590799</v>
      </c>
    </row>
    <row r="61" spans="1:11">
      <c r="A61">
        <v>8.7999999999999995E-2</v>
      </c>
      <c r="B61" s="6">
        <v>5.9228701935552498E-5</v>
      </c>
      <c r="C61">
        <v>754642.59814265696</v>
      </c>
      <c r="E61">
        <v>7.0199999999999999E-2</v>
      </c>
      <c r="F61" s="6">
        <v>5.9182723575431502E-5</v>
      </c>
      <c r="G61">
        <v>1352450.9074430801</v>
      </c>
      <c r="I61">
        <v>7.1349999999999997E-2</v>
      </c>
      <c r="J61" s="6">
        <v>6.2530356144431301E-5</v>
      </c>
      <c r="K61">
        <v>1398426.1887285199</v>
      </c>
    </row>
    <row r="62" spans="1:11">
      <c r="A62">
        <v>9.1999999999999998E-2</v>
      </c>
      <c r="B62" s="6">
        <v>5.94876936865972E-5</v>
      </c>
      <c r="C62">
        <v>750650.31524394301</v>
      </c>
      <c r="E62">
        <v>7.4200000000000002E-2</v>
      </c>
      <c r="F62" s="6">
        <v>5.96156524280934E-5</v>
      </c>
      <c r="G62">
        <v>1340520.8794392301</v>
      </c>
      <c r="I62">
        <v>7.535E-2</v>
      </c>
      <c r="J62" s="6">
        <v>6.3013755297530494E-5</v>
      </c>
      <c r="K62">
        <v>1384376.1195433801</v>
      </c>
    </row>
    <row r="63" spans="1:11">
      <c r="A63">
        <v>9.6000000000000002E-2</v>
      </c>
      <c r="B63" s="6">
        <v>6.0167493044026899E-5</v>
      </c>
      <c r="C63">
        <v>740351.93239962496</v>
      </c>
      <c r="E63">
        <v>7.8200000000000006E-2</v>
      </c>
      <c r="F63" s="6">
        <v>5.9964429059891203E-5</v>
      </c>
      <c r="G63">
        <v>1331047.8366306201</v>
      </c>
      <c r="I63">
        <v>7.9350000000000004E-2</v>
      </c>
      <c r="J63" s="6">
        <v>6.3410625343747506E-5</v>
      </c>
      <c r="K63">
        <v>1373024.5093871001</v>
      </c>
    </row>
    <row r="64" spans="1:11">
      <c r="A64">
        <v>0.1</v>
      </c>
      <c r="B64" s="6">
        <v>6.0340710385214501E-5</v>
      </c>
      <c r="C64">
        <v>737768.625293502</v>
      </c>
      <c r="E64">
        <v>8.2199999999999995E-2</v>
      </c>
      <c r="F64" s="6">
        <v>6.0248818766031099E-5</v>
      </c>
      <c r="G64">
        <v>1323413.0441966399</v>
      </c>
      <c r="I64">
        <v>8.3349999999999994E-2</v>
      </c>
      <c r="J64" s="6">
        <v>6.3767371351570101E-5</v>
      </c>
      <c r="K64">
        <v>1362958.8078334001</v>
      </c>
    </row>
    <row r="65" spans="1:11">
      <c r="A65">
        <v>0.104</v>
      </c>
      <c r="B65" s="6">
        <v>6.0527869547411897E-5</v>
      </c>
      <c r="C65">
        <v>734995.72377692605</v>
      </c>
      <c r="E65">
        <v>8.6199999999999999E-2</v>
      </c>
      <c r="F65" s="6">
        <v>6.0502429583421499E-5</v>
      </c>
      <c r="G65">
        <v>1316671.28392393</v>
      </c>
      <c r="I65">
        <v>8.7349999999999997E-2</v>
      </c>
      <c r="J65" s="6">
        <v>6.40875967197999E-5</v>
      </c>
      <c r="K65">
        <v>1354032.9787020299</v>
      </c>
    </row>
    <row r="66" spans="1:11">
      <c r="A66">
        <v>0.108</v>
      </c>
      <c r="B66" s="6">
        <v>6.0729573591502902E-5</v>
      </c>
      <c r="C66">
        <v>732028.43376502302</v>
      </c>
      <c r="E66">
        <v>9.0200000000000002E-2</v>
      </c>
      <c r="F66" s="6">
        <v>6.0735901138643103E-5</v>
      </c>
      <c r="G66">
        <v>1310519.7590934399</v>
      </c>
      <c r="I66">
        <v>9.1350000000000001E-2</v>
      </c>
      <c r="J66" s="6">
        <v>6.4389028920494996E-5</v>
      </c>
      <c r="K66">
        <v>1345724.0178988599</v>
      </c>
    </row>
    <row r="67" spans="1:11">
      <c r="A67">
        <v>0.112</v>
      </c>
      <c r="B67" s="6">
        <v>6.0940529031891098E-5</v>
      </c>
      <c r="C67">
        <v>728948.22137838602</v>
      </c>
      <c r="E67">
        <v>9.4200000000000006E-2</v>
      </c>
      <c r="F67" s="6">
        <v>6.0952662701273701E-5</v>
      </c>
      <c r="G67">
        <v>1304855.0214955001</v>
      </c>
      <c r="I67">
        <v>9.5350000000000004E-2</v>
      </c>
      <c r="J67" s="6">
        <v>6.4663963921825497E-5</v>
      </c>
      <c r="K67">
        <v>1338222.9241883999</v>
      </c>
    </row>
    <row r="68" spans="1:11">
      <c r="A68">
        <v>0.11600000000000001</v>
      </c>
      <c r="B68" s="6">
        <v>6.1132066094851296E-5</v>
      </c>
      <c r="C68">
        <v>726171.84296876495</v>
      </c>
      <c r="E68">
        <v>9.8199999999999996E-2</v>
      </c>
      <c r="F68" s="6">
        <v>6.1147216581856605E-5</v>
      </c>
      <c r="G68">
        <v>1299808.3541548201</v>
      </c>
      <c r="I68">
        <v>9.9349999999999994E-2</v>
      </c>
      <c r="J68" s="6">
        <v>6.5098372146309705E-5</v>
      </c>
      <c r="K68">
        <v>1326519.2638594301</v>
      </c>
    </row>
    <row r="69" spans="1:11">
      <c r="A69">
        <v>0.12</v>
      </c>
      <c r="B69" s="6">
        <v>6.1328137906477097E-5</v>
      </c>
      <c r="C69">
        <v>723349.54271565203</v>
      </c>
      <c r="E69">
        <v>0.1022</v>
      </c>
      <c r="F69" s="6">
        <v>6.1480388625564307E-5</v>
      </c>
      <c r="G69">
        <v>1291247.8636844801</v>
      </c>
      <c r="I69">
        <v>0.10335</v>
      </c>
      <c r="J69" s="6">
        <v>6.5400370367626898E-5</v>
      </c>
      <c r="K69">
        <v>1318487.91812851</v>
      </c>
    </row>
    <row r="70" spans="1:11">
      <c r="A70">
        <v>0.124</v>
      </c>
      <c r="B70" s="6">
        <v>6.1504539825340204E-5</v>
      </c>
      <c r="C70">
        <v>720827.32998895401</v>
      </c>
      <c r="E70">
        <v>0.1062</v>
      </c>
      <c r="F70" s="6">
        <v>6.1698211267138405E-5</v>
      </c>
      <c r="G70">
        <v>1285706.2130434299</v>
      </c>
      <c r="I70">
        <v>0.10735</v>
      </c>
      <c r="J70" s="6">
        <v>6.5670296447158406E-5</v>
      </c>
      <c r="K70">
        <v>1311381.2093396001</v>
      </c>
    </row>
    <row r="71" spans="1:11">
      <c r="A71">
        <v>0.128</v>
      </c>
      <c r="B71" s="6">
        <v>6.1668300739795798E-5</v>
      </c>
      <c r="C71">
        <v>718500.10176259303</v>
      </c>
      <c r="E71">
        <v>0.11020000000000001</v>
      </c>
      <c r="F71" s="6">
        <v>6.1876024903417194E-5</v>
      </c>
      <c r="G71">
        <v>1281214.3216484999</v>
      </c>
      <c r="I71">
        <v>0.11135</v>
      </c>
      <c r="J71" s="6">
        <v>6.5939257525876593E-5</v>
      </c>
      <c r="K71">
        <v>1304366.3185983601</v>
      </c>
    </row>
    <row r="72" spans="1:11">
      <c r="A72">
        <v>0.13200000000000001</v>
      </c>
      <c r="B72" s="6">
        <v>6.1832528053491897E-5</v>
      </c>
      <c r="C72">
        <v>716179.89945872605</v>
      </c>
      <c r="E72">
        <v>0.1142</v>
      </c>
      <c r="F72" s="6">
        <v>6.2061205088162098E-5</v>
      </c>
      <c r="G72">
        <v>1276566.5168572201</v>
      </c>
      <c r="I72">
        <v>0.11534999999999999</v>
      </c>
      <c r="J72" s="6">
        <v>6.6168915594048503E-5</v>
      </c>
      <c r="K72">
        <v>1298428.28195402</v>
      </c>
    </row>
    <row r="73" spans="1:11">
      <c r="A73">
        <v>0.13600000000000001</v>
      </c>
      <c r="B73" s="6">
        <v>6.2000459934136501E-5</v>
      </c>
      <c r="C73">
        <v>713821.37853518897</v>
      </c>
      <c r="E73">
        <v>0.1182</v>
      </c>
      <c r="F73" s="6">
        <v>6.2220131605970097E-5</v>
      </c>
      <c r="G73">
        <v>1272601.97082844</v>
      </c>
      <c r="I73">
        <v>0.11935</v>
      </c>
      <c r="J73" s="6">
        <v>6.6393091957628794E-5</v>
      </c>
      <c r="K73">
        <v>1292677.4529888199</v>
      </c>
    </row>
    <row r="74" spans="1:11">
      <c r="A74">
        <v>0.14000000000000001</v>
      </c>
      <c r="B74" s="6">
        <v>6.2158908405991498E-5</v>
      </c>
      <c r="C74">
        <v>711608.93335151498</v>
      </c>
      <c r="E74">
        <v>0.1222</v>
      </c>
      <c r="F74" s="6">
        <v>6.2380668177269003E-5</v>
      </c>
      <c r="G74">
        <v>1268619.8815166701</v>
      </c>
      <c r="I74">
        <v>0.12335</v>
      </c>
      <c r="J74" s="6">
        <v>6.6612923707054996E-5</v>
      </c>
      <c r="K74">
        <v>1287081.2207873999</v>
      </c>
    </row>
    <row r="75" spans="1:11">
      <c r="A75">
        <v>0.14399999999999999</v>
      </c>
      <c r="B75" s="6">
        <v>6.2313697578035698E-5</v>
      </c>
      <c r="C75">
        <v>709459.56645586505</v>
      </c>
      <c r="E75">
        <v>0.12620000000000001</v>
      </c>
      <c r="F75" s="6">
        <v>6.2533864232380707E-5</v>
      </c>
      <c r="G75">
        <v>1264840.8984175101</v>
      </c>
      <c r="I75">
        <v>0.12734999999999999</v>
      </c>
      <c r="J75" s="6">
        <v>6.6818343478483797E-5</v>
      </c>
      <c r="K75">
        <v>1281890.0678725401</v>
      </c>
    </row>
    <row r="76" spans="1:11">
      <c r="A76">
        <v>0.14799999999999999</v>
      </c>
      <c r="B76" s="6">
        <v>6.2461221150671598E-5</v>
      </c>
      <c r="C76">
        <v>707422.02271420695</v>
      </c>
      <c r="E76">
        <v>0.13020000000000001</v>
      </c>
      <c r="F76" s="6">
        <v>6.2675653981047002E-5</v>
      </c>
      <c r="G76">
        <v>1261361.43608666</v>
      </c>
      <c r="I76">
        <v>0.13134999999999999</v>
      </c>
      <c r="J76" s="6">
        <v>6.7019929871571198E-5</v>
      </c>
      <c r="K76">
        <v>1276831.3009251701</v>
      </c>
    </row>
    <row r="77" spans="1:11">
      <c r="A77">
        <v>0.152</v>
      </c>
      <c r="B77" s="6">
        <v>6.2605259936894899E-5</v>
      </c>
      <c r="C77">
        <v>705442.82859736599</v>
      </c>
      <c r="E77">
        <v>0.13420000000000001</v>
      </c>
      <c r="F77" s="6">
        <v>6.2818153864157398E-5</v>
      </c>
      <c r="G77">
        <v>1257882.00348596</v>
      </c>
      <c r="I77">
        <v>0.13535</v>
      </c>
      <c r="J77" s="6">
        <v>6.7215509239923693E-5</v>
      </c>
      <c r="K77">
        <v>1271956.56928047</v>
      </c>
    </row>
    <row r="78" spans="1:11">
      <c r="A78">
        <v>0.156</v>
      </c>
      <c r="B78" s="6">
        <v>6.2750842264910602E-5</v>
      </c>
      <c r="C78">
        <v>703452.60937168798</v>
      </c>
      <c r="E78">
        <v>0.13819999999999999</v>
      </c>
      <c r="F78" s="6">
        <v>6.2957029163962194E-5</v>
      </c>
      <c r="G78">
        <v>1254507.7885116001</v>
      </c>
      <c r="I78">
        <v>0.13935</v>
      </c>
      <c r="J78" s="6">
        <v>6.74017246077164E-5</v>
      </c>
      <c r="K78">
        <v>1267345.4104182899</v>
      </c>
    </row>
    <row r="79" spans="1:11">
      <c r="A79">
        <v>0.16</v>
      </c>
      <c r="B79" s="6">
        <v>6.2889146103361099E-5</v>
      </c>
      <c r="C79">
        <v>701571.30589704704</v>
      </c>
      <c r="E79">
        <v>0.14219999999999999</v>
      </c>
      <c r="F79" s="6">
        <v>6.3088270788336405E-5</v>
      </c>
      <c r="G79">
        <v>1251334.10496641</v>
      </c>
      <c r="I79">
        <v>0.14335000000000001</v>
      </c>
      <c r="J79" s="6">
        <v>6.7583729939399702E-5</v>
      </c>
      <c r="K79">
        <v>1262866.6933617999</v>
      </c>
    </row>
    <row r="80" spans="1:11">
      <c r="A80">
        <v>0.16400000000000001</v>
      </c>
      <c r="B80" s="6">
        <v>6.3025568563227505E-5</v>
      </c>
      <c r="C80">
        <v>699724.51673674199</v>
      </c>
      <c r="E80">
        <v>0.1462</v>
      </c>
      <c r="F80" s="6">
        <v>6.3217286510262606E-5</v>
      </c>
      <c r="G80">
        <v>1248228.4157409901</v>
      </c>
      <c r="I80">
        <v>0.14735000000000001</v>
      </c>
      <c r="J80" s="6">
        <v>6.7761801104259905E-5</v>
      </c>
      <c r="K80">
        <v>1258511.5201465399</v>
      </c>
    </row>
    <row r="81" spans="1:11">
      <c r="A81">
        <v>0.16800000000000001</v>
      </c>
      <c r="B81" s="6">
        <v>6.3158626465621899E-5</v>
      </c>
      <c r="C81">
        <v>697931.75180867396</v>
      </c>
      <c r="E81">
        <v>0.1502</v>
      </c>
      <c r="F81" s="6">
        <v>6.3341754051111294E-5</v>
      </c>
      <c r="G81">
        <v>1245245.4366818301</v>
      </c>
      <c r="I81">
        <v>0.15135000000000001</v>
      </c>
      <c r="J81" s="6">
        <v>6.7935846747910401E-5</v>
      </c>
      <c r="K81">
        <v>1254280.1324565101</v>
      </c>
    </row>
    <row r="82" spans="1:11">
      <c r="A82">
        <v>0.17199999999999999</v>
      </c>
      <c r="B82" s="6">
        <v>6.3291402222573798E-5</v>
      </c>
      <c r="C82">
        <v>696151.07703965099</v>
      </c>
      <c r="E82">
        <v>0.1542</v>
      </c>
      <c r="F82" s="6">
        <v>6.3463024662570596E-5</v>
      </c>
      <c r="G82">
        <v>1242351.48867107</v>
      </c>
      <c r="I82">
        <v>0.15534999999999999</v>
      </c>
      <c r="J82" s="6">
        <v>6.8106720574162501E-5</v>
      </c>
      <c r="K82">
        <v>1250150.0147414701</v>
      </c>
    </row>
    <row r="83" spans="1:11">
      <c r="A83">
        <v>0.17599999999999999</v>
      </c>
      <c r="B83" s="6">
        <v>6.3426482446814404E-5</v>
      </c>
      <c r="C83">
        <v>694347.93644311198</v>
      </c>
      <c r="E83">
        <v>0.15820000000000001</v>
      </c>
      <c r="F83" s="6">
        <v>6.3580019120579602E-5</v>
      </c>
      <c r="G83">
        <v>1239571.1257306</v>
      </c>
      <c r="I83">
        <v>0.15934999999999999</v>
      </c>
      <c r="J83" s="6">
        <v>6.8271130684539807E-5</v>
      </c>
      <c r="K83">
        <v>1246198.53645495</v>
      </c>
    </row>
    <row r="84" spans="1:11">
      <c r="A84">
        <v>0.18</v>
      </c>
      <c r="B84" s="6">
        <v>6.3557748808748299E-5</v>
      </c>
      <c r="C84">
        <v>692603.80556440598</v>
      </c>
      <c r="E84">
        <v>0.16220000000000001</v>
      </c>
      <c r="F84" s="6">
        <v>6.3693240287312496E-5</v>
      </c>
      <c r="G84">
        <v>1236891.16257366</v>
      </c>
      <c r="I84">
        <v>0.16335</v>
      </c>
      <c r="J84" s="6">
        <v>6.8430473145204203E-5</v>
      </c>
      <c r="K84">
        <v>1242389.6601504099</v>
      </c>
    </row>
    <row r="85" spans="1:11">
      <c r="A85">
        <v>0.184</v>
      </c>
      <c r="B85" s="6">
        <v>6.3689885983865096E-5</v>
      </c>
      <c r="C85">
        <v>690856.11440875998</v>
      </c>
      <c r="E85">
        <v>0.16619999999999999</v>
      </c>
      <c r="F85" s="6">
        <v>6.3802623181150397E-5</v>
      </c>
      <c r="G85">
        <v>1234312.0165027899</v>
      </c>
      <c r="I85">
        <v>0.16735</v>
      </c>
      <c r="J85" s="6">
        <v>6.8589143056351897E-5</v>
      </c>
      <c r="K85">
        <v>1238617.0549297</v>
      </c>
    </row>
    <row r="86" spans="1:11">
      <c r="A86">
        <v>0.188</v>
      </c>
      <c r="B86" s="6">
        <v>6.3813348597205796E-5</v>
      </c>
      <c r="C86">
        <v>689230.37038479198</v>
      </c>
      <c r="E86">
        <v>0.17019999999999999</v>
      </c>
      <c r="F86" s="6">
        <v>6.3911816739447997E-5</v>
      </c>
      <c r="G86">
        <v>1231747.0487091499</v>
      </c>
      <c r="I86">
        <v>0.17135</v>
      </c>
      <c r="J86" s="6">
        <v>6.87473699447841E-5</v>
      </c>
      <c r="K86">
        <v>1234874.8986782799</v>
      </c>
    </row>
    <row r="87" spans="1:11">
      <c r="A87">
        <v>0.192</v>
      </c>
      <c r="B87" s="6">
        <v>6.3928711683768194E-5</v>
      </c>
      <c r="C87">
        <v>687717.53991703806</v>
      </c>
      <c r="E87">
        <v>0.17419999999999999</v>
      </c>
      <c r="F87" s="6">
        <v>6.4021373196526202E-5</v>
      </c>
      <c r="G87">
        <v>1229183.25709423</v>
      </c>
      <c r="I87">
        <v>0.17535000000000001</v>
      </c>
      <c r="J87" s="6">
        <v>6.8901844029860105E-5</v>
      </c>
      <c r="K87">
        <v>1231240.53894549</v>
      </c>
    </row>
    <row r="88" spans="1:11">
      <c r="A88">
        <v>0.19600000000000001</v>
      </c>
      <c r="B88" s="6">
        <v>6.4048697296419397E-5</v>
      </c>
      <c r="C88">
        <v>686150.47023499606</v>
      </c>
      <c r="E88">
        <v>0.1782</v>
      </c>
      <c r="F88" s="6">
        <v>6.4128458724589503E-5</v>
      </c>
      <c r="G88">
        <v>1226686.6281578201</v>
      </c>
      <c r="I88">
        <v>0.17935000000000001</v>
      </c>
      <c r="J88" s="6">
        <v>6.9053322148978694E-5</v>
      </c>
      <c r="K88">
        <v>1227694.8003402799</v>
      </c>
    </row>
    <row r="89" spans="1:11">
      <c r="A89">
        <v>0.2</v>
      </c>
      <c r="B89" s="6">
        <v>6.4171817388181696E-5</v>
      </c>
      <c r="C89">
        <v>684549.18357546604</v>
      </c>
      <c r="E89">
        <v>0.1822</v>
      </c>
      <c r="F89" s="6">
        <v>6.4233102874920205E-5</v>
      </c>
      <c r="G89">
        <v>1224255.7899796499</v>
      </c>
      <c r="I89">
        <v>0.18335000000000001</v>
      </c>
      <c r="J89" s="6">
        <v>6.9203106208354795E-5</v>
      </c>
      <c r="K89">
        <v>1224206.24517219</v>
      </c>
    </row>
    <row r="90" spans="1:11">
      <c r="A90">
        <v>0.20399999999999999</v>
      </c>
      <c r="B90" s="6">
        <v>6.4289183374283796E-5</v>
      </c>
      <c r="C90">
        <v>683029.03293716395</v>
      </c>
      <c r="E90">
        <v>0.1862</v>
      </c>
      <c r="F90" s="6">
        <v>6.4334158951614103E-5</v>
      </c>
      <c r="G90">
        <v>1221916.5812645601</v>
      </c>
      <c r="I90">
        <v>0.18734999999999999</v>
      </c>
      <c r="J90" s="6">
        <v>6.9347750161047997E-5</v>
      </c>
      <c r="K90">
        <v>1220853.8321726799</v>
      </c>
    </row>
    <row r="91" spans="1:11">
      <c r="A91">
        <v>0.20799999999999999</v>
      </c>
      <c r="B91" s="6">
        <v>6.4407609556403706E-5</v>
      </c>
      <c r="C91">
        <v>681501.34571434697</v>
      </c>
      <c r="E91">
        <v>0.19020000000000001</v>
      </c>
      <c r="F91" s="6">
        <v>6.4435696160734706E-5</v>
      </c>
      <c r="G91">
        <v>1219574.38833058</v>
      </c>
      <c r="I91">
        <v>0.19134999999999999</v>
      </c>
      <c r="J91" s="6">
        <v>6.9491304464878306E-5</v>
      </c>
      <c r="K91">
        <v>1217542.52276668</v>
      </c>
    </row>
    <row r="92" spans="1:11">
      <c r="A92">
        <v>0.21199999999999999</v>
      </c>
      <c r="B92" s="6">
        <v>6.4520590859639101E-5</v>
      </c>
      <c r="C92">
        <v>680049.66333597095</v>
      </c>
      <c r="E92">
        <v>0.19420000000000001</v>
      </c>
      <c r="F92" s="6">
        <v>6.45350016379298E-5</v>
      </c>
      <c r="G92">
        <v>1217291.5403402001</v>
      </c>
      <c r="I92">
        <v>0.19535</v>
      </c>
      <c r="J92" s="6">
        <v>6.96340140977073E-5</v>
      </c>
      <c r="K92">
        <v>1214266.2408539599</v>
      </c>
    </row>
    <row r="93" spans="1:11">
      <c r="A93">
        <v>0.216</v>
      </c>
      <c r="B93" s="6">
        <v>6.4634877582730096E-5</v>
      </c>
      <c r="C93">
        <v>678586.90450202604</v>
      </c>
      <c r="E93">
        <v>0.19819999999999999</v>
      </c>
      <c r="F93" s="6">
        <v>6.4631650389465807E-5</v>
      </c>
      <c r="G93">
        <v>1215077.1968833799</v>
      </c>
      <c r="I93">
        <v>0.19935</v>
      </c>
      <c r="J93" s="6">
        <v>6.9771812763583195E-5</v>
      </c>
      <c r="K93">
        <v>1211117.31114984</v>
      </c>
    </row>
    <row r="94" spans="1:11">
      <c r="A94">
        <v>0.22</v>
      </c>
      <c r="B94" s="6">
        <v>6.47496319186466E-5</v>
      </c>
      <c r="C94">
        <v>677123.89274174499</v>
      </c>
      <c r="E94">
        <v>0.20219999999999999</v>
      </c>
      <c r="F94" s="6">
        <v>6.4727547592384894E-5</v>
      </c>
      <c r="G94">
        <v>1212887.2831113699</v>
      </c>
      <c r="I94">
        <v>0.20335</v>
      </c>
      <c r="J94" s="6">
        <v>6.9908312244135098E-5</v>
      </c>
      <c r="K94">
        <v>1208012.12848321</v>
      </c>
    </row>
    <row r="95" spans="1:11">
      <c r="A95">
        <v>0.224</v>
      </c>
      <c r="B95" s="6">
        <v>6.4861365182275303E-5</v>
      </c>
      <c r="C95">
        <v>675704.88448423205</v>
      </c>
      <c r="E95">
        <v>0.20619999999999999</v>
      </c>
      <c r="F95" s="6">
        <v>6.4823207570977997E-5</v>
      </c>
      <c r="G95">
        <v>1210709.9087328401</v>
      </c>
      <c r="I95">
        <v>0.20735000000000001</v>
      </c>
      <c r="J95" s="6">
        <v>7.0047018735627906E-5</v>
      </c>
      <c r="K95">
        <v>1204870.9809427201</v>
      </c>
    </row>
    <row r="96" spans="1:11">
      <c r="A96">
        <v>0.22800000000000001</v>
      </c>
      <c r="B96" s="6">
        <v>6.4969015478092204E-5</v>
      </c>
      <c r="C96">
        <v>674342.82279889099</v>
      </c>
      <c r="E96">
        <v>0.2102</v>
      </c>
      <c r="F96" s="6">
        <v>6.4915353086725003E-5</v>
      </c>
      <c r="G96">
        <v>1208619.22337674</v>
      </c>
      <c r="I96">
        <v>0.21135000000000001</v>
      </c>
      <c r="J96" s="6">
        <v>7.01849445964772E-5</v>
      </c>
      <c r="K96">
        <v>1201761.65369869</v>
      </c>
    </row>
    <row r="97" spans="1:11">
      <c r="A97">
        <v>0.23200000000000001</v>
      </c>
      <c r="B97" s="6">
        <v>6.5077746926225501E-5</v>
      </c>
      <c r="C97">
        <v>672972.12869498599</v>
      </c>
      <c r="E97">
        <v>0.2142</v>
      </c>
      <c r="F97" s="6">
        <v>6.5008814261748399E-5</v>
      </c>
      <c r="G97">
        <v>1206505.36717142</v>
      </c>
      <c r="I97">
        <v>0.21535000000000001</v>
      </c>
      <c r="J97" s="6">
        <v>7.0322154419750406E-5</v>
      </c>
      <c r="K97">
        <v>1198682.3708359201</v>
      </c>
    </row>
    <row r="98" spans="1:11">
      <c r="A98">
        <v>0.23599999999999999</v>
      </c>
      <c r="B98" s="6">
        <v>6.5186715443876095E-5</v>
      </c>
      <c r="C98">
        <v>671603.50768812699</v>
      </c>
      <c r="E98">
        <v>0.21820000000000001</v>
      </c>
      <c r="F98" s="6">
        <v>6.5099934513830802E-5</v>
      </c>
      <c r="G98">
        <v>1204450.9035908701</v>
      </c>
      <c r="I98">
        <v>0.21934999999999999</v>
      </c>
      <c r="J98" s="6">
        <v>7.0454956077541301E-5</v>
      </c>
      <c r="K98">
        <v>1195715.13687014</v>
      </c>
    </row>
    <row r="99" spans="1:11">
      <c r="A99">
        <v>0.24</v>
      </c>
      <c r="B99" s="6">
        <v>6.5295348179253703E-5</v>
      </c>
      <c r="C99">
        <v>670244.12084043899</v>
      </c>
      <c r="E99">
        <v>0.22220000000000001</v>
      </c>
      <c r="F99" s="6">
        <v>6.5192368029961604E-5</v>
      </c>
      <c r="G99">
        <v>1202373.3046329301</v>
      </c>
      <c r="I99">
        <v>0.22334999999999999</v>
      </c>
      <c r="J99" s="6">
        <v>7.0587853677672206E-5</v>
      </c>
      <c r="K99">
        <v>1192758.59987055</v>
      </c>
    </row>
    <row r="100" spans="1:11">
      <c r="A100">
        <v>0.24399999999999999</v>
      </c>
      <c r="B100" s="6">
        <v>6.5402661228913496E-5</v>
      </c>
      <c r="C100">
        <v>668906.14000095997</v>
      </c>
      <c r="E100">
        <v>0.22620000000000001</v>
      </c>
      <c r="F100" s="6">
        <v>6.5282066212914305E-5</v>
      </c>
      <c r="G100">
        <v>1200363.3926007899</v>
      </c>
      <c r="I100">
        <v>0.22735</v>
      </c>
      <c r="J100" s="6">
        <v>7.07214409632718E-5</v>
      </c>
      <c r="K100">
        <v>1189799.5851825201</v>
      </c>
    </row>
    <row r="101" spans="1:11">
      <c r="A101">
        <v>0.248</v>
      </c>
      <c r="B101" s="6">
        <v>6.5504695200254204E-5</v>
      </c>
      <c r="C101">
        <v>667638.46425900597</v>
      </c>
      <c r="E101">
        <v>0.23019999999999999</v>
      </c>
      <c r="F101" s="6">
        <v>6.5370565323446698E-5</v>
      </c>
      <c r="G101">
        <v>1198386.31302258</v>
      </c>
      <c r="I101">
        <v>0.23135</v>
      </c>
      <c r="J101" s="6">
        <v>7.0852542883729404E-5</v>
      </c>
      <c r="K101">
        <v>1186908.0854023001</v>
      </c>
    </row>
    <row r="102" spans="1:11">
      <c r="A102">
        <v>0.252</v>
      </c>
      <c r="B102" s="6">
        <v>6.5607281591809099E-5</v>
      </c>
      <c r="C102">
        <v>666368.31132126995</v>
      </c>
      <c r="E102">
        <v>0.23419999999999999</v>
      </c>
      <c r="F102" s="6">
        <v>6.5458268721465106E-5</v>
      </c>
      <c r="G102">
        <v>1196432.82891658</v>
      </c>
      <c r="I102">
        <v>0.23535</v>
      </c>
      <c r="J102" s="6">
        <v>7.09846799938614E-5</v>
      </c>
      <c r="K102">
        <v>1184006.1713428199</v>
      </c>
    </row>
    <row r="103" spans="1:11">
      <c r="A103">
        <v>0.25600000000000001</v>
      </c>
      <c r="B103" s="6">
        <v>6.5716829871257602E-5</v>
      </c>
      <c r="C103">
        <v>665016.79278841999</v>
      </c>
      <c r="E103">
        <v>0.2382</v>
      </c>
      <c r="F103" s="6">
        <v>6.5546233224850997E-5</v>
      </c>
      <c r="G103">
        <v>1194479.3229261199</v>
      </c>
      <c r="I103">
        <v>0.23935000000000001</v>
      </c>
      <c r="J103" s="6">
        <v>7.1113645037375206E-5</v>
      </c>
      <c r="K103">
        <v>1181185.86708439</v>
      </c>
    </row>
    <row r="104" spans="1:11">
      <c r="A104">
        <v>0.26</v>
      </c>
      <c r="B104" s="6">
        <v>6.5819049211314305E-5</v>
      </c>
      <c r="C104">
        <v>663760.16912535601</v>
      </c>
      <c r="E104">
        <v>0.2422</v>
      </c>
      <c r="F104" s="6">
        <v>6.5633858949928504E-5</v>
      </c>
      <c r="G104">
        <v>1192539.0847488299</v>
      </c>
      <c r="I104">
        <v>0.24335000000000001</v>
      </c>
      <c r="J104" s="6">
        <v>7.1241165485810403E-5</v>
      </c>
      <c r="K104">
        <v>1178408.6895947999</v>
      </c>
    </row>
    <row r="105" spans="1:11">
      <c r="A105">
        <v>0.26400000000000001</v>
      </c>
      <c r="B105" s="6">
        <v>6.59239462124262E-5</v>
      </c>
      <c r="C105">
        <v>662475.09848012403</v>
      </c>
      <c r="E105">
        <v>0.2462</v>
      </c>
      <c r="F105" s="6">
        <v>6.5722251202059796E-5</v>
      </c>
      <c r="G105">
        <v>1190587.65776075</v>
      </c>
      <c r="I105">
        <v>0.24734999999999999</v>
      </c>
      <c r="J105" s="6">
        <v>7.1371353922195606E-5</v>
      </c>
      <c r="K105">
        <v>1175585.1716895199</v>
      </c>
    </row>
    <row r="106" spans="1:11">
      <c r="A106">
        <v>0.26800000000000002</v>
      </c>
      <c r="B106" s="6">
        <v>6.6026323129803494E-5</v>
      </c>
      <c r="C106">
        <v>661225.24501810898</v>
      </c>
      <c r="E106">
        <v>0.25019999999999998</v>
      </c>
      <c r="F106" s="6">
        <v>6.5808974919162006E-5</v>
      </c>
      <c r="G106">
        <v>1188678.6880836601</v>
      </c>
      <c r="I106">
        <v>0.25135000000000002</v>
      </c>
      <c r="J106" s="6">
        <v>7.1500961195790201E-5</v>
      </c>
      <c r="K106">
        <v>1172785.99306837</v>
      </c>
    </row>
    <row r="107" spans="1:11">
      <c r="A107">
        <v>0.27200000000000002</v>
      </c>
      <c r="B107" s="6">
        <v>6.6125083343040105E-5</v>
      </c>
      <c r="C107">
        <v>660023.59200039494</v>
      </c>
      <c r="E107">
        <v>0.25419999999999998</v>
      </c>
      <c r="F107" s="6">
        <v>6.5895929658984294E-5</v>
      </c>
      <c r="G107">
        <v>1186770.1995930099</v>
      </c>
      <c r="I107">
        <v>0.25535000000000002</v>
      </c>
      <c r="J107" s="6">
        <v>7.16267664691893E-5</v>
      </c>
      <c r="K107">
        <v>1170080.0593731001</v>
      </c>
    </row>
    <row r="108" spans="1:11">
      <c r="A108">
        <v>0.27600000000000002</v>
      </c>
      <c r="B108" s="6">
        <v>6.6233260641105203E-5</v>
      </c>
      <c r="C108">
        <v>658711.89638625004</v>
      </c>
      <c r="E108">
        <v>0.25819999999999999</v>
      </c>
      <c r="F108" s="6">
        <v>6.5981615746288502E-5</v>
      </c>
      <c r="G108">
        <v>1184894.98498402</v>
      </c>
      <c r="I108">
        <v>0.25935000000000002</v>
      </c>
      <c r="J108" s="6">
        <v>7.1752138612870897E-5</v>
      </c>
      <c r="K108">
        <v>1167394.2887220399</v>
      </c>
    </row>
    <row r="109" spans="1:11">
      <c r="A109">
        <v>0.28000000000000003</v>
      </c>
      <c r="B109" s="6">
        <v>6.6337189754544799E-5</v>
      </c>
      <c r="C109">
        <v>657456.15749885305</v>
      </c>
      <c r="E109">
        <v>0.26219999999999999</v>
      </c>
      <c r="F109" s="6">
        <v>6.6068582550859797E-5</v>
      </c>
      <c r="G109">
        <v>1182997.2304525201</v>
      </c>
      <c r="I109">
        <v>0.26334999999999997</v>
      </c>
      <c r="J109" s="6">
        <v>7.1880191591659797E-5</v>
      </c>
      <c r="K109">
        <v>1164662.2024457799</v>
      </c>
    </row>
    <row r="110" spans="1:11">
      <c r="A110">
        <v>0.28399999999999997</v>
      </c>
      <c r="B110" s="6">
        <v>6.6437267701369306E-5</v>
      </c>
      <c r="C110">
        <v>656251.04775537003</v>
      </c>
      <c r="E110">
        <v>0.26619999999999999</v>
      </c>
      <c r="F110" s="6">
        <v>6.6153652699636406E-5</v>
      </c>
      <c r="G110">
        <v>1181146.1906540301</v>
      </c>
      <c r="I110">
        <v>0.26734999999999998</v>
      </c>
      <c r="J110" s="6">
        <v>7.2006005783780194E-5</v>
      </c>
      <c r="K110">
        <v>1161988.7564780801</v>
      </c>
    </row>
    <row r="111" spans="1:11">
      <c r="A111">
        <v>0.28799999999999998</v>
      </c>
      <c r="B111" s="6">
        <v>6.6535738769761606E-5</v>
      </c>
      <c r="C111">
        <v>655069.191956355</v>
      </c>
      <c r="E111">
        <v>0.2702</v>
      </c>
      <c r="F111" s="6">
        <v>6.6236239597661597E-5</v>
      </c>
      <c r="G111">
        <v>1179354.2026371399</v>
      </c>
      <c r="I111">
        <v>0.27134999999999998</v>
      </c>
      <c r="J111" s="6">
        <v>7.2130665404649094E-5</v>
      </c>
      <c r="K111">
        <v>1159350.4140013501</v>
      </c>
    </row>
    <row r="112" spans="1:11">
      <c r="A112">
        <v>0.29199999999999998</v>
      </c>
      <c r="B112" s="6">
        <v>6.6636116399222702E-5</v>
      </c>
      <c r="C112">
        <v>653868.42070205405</v>
      </c>
      <c r="E112">
        <v>0.2742</v>
      </c>
      <c r="F112" s="6">
        <v>6.6319118051771198E-5</v>
      </c>
      <c r="G112">
        <v>1177560.8393502601</v>
      </c>
      <c r="I112">
        <v>0.27534999999999998</v>
      </c>
      <c r="J112" s="6">
        <v>7.2257526744116E-5</v>
      </c>
      <c r="K112">
        <v>1156676.2141483601</v>
      </c>
    </row>
    <row r="113" spans="1:11">
      <c r="A113">
        <v>0.29599999999999999</v>
      </c>
      <c r="B113" s="6">
        <v>6.6737894836794E-5</v>
      </c>
      <c r="C113">
        <v>652654.96199463005</v>
      </c>
      <c r="E113">
        <v>0.2782</v>
      </c>
      <c r="F113" s="6">
        <v>6.6403282044375303E-5</v>
      </c>
      <c r="G113">
        <v>1175744.71443163</v>
      </c>
      <c r="I113">
        <v>0.27934999999999999</v>
      </c>
      <c r="J113" s="6">
        <v>7.2382673398786507E-5</v>
      </c>
      <c r="K113">
        <v>1154048.71368052</v>
      </c>
    </row>
    <row r="114" spans="1:11">
      <c r="A114">
        <v>0.3</v>
      </c>
      <c r="B114" s="6">
        <v>6.6840353950251206E-5</v>
      </c>
      <c r="C114">
        <v>651437.50686473504</v>
      </c>
      <c r="E114">
        <v>0.28220000000000001</v>
      </c>
      <c r="F114" s="6">
        <v>6.6488219715122999E-5</v>
      </c>
      <c r="G114">
        <v>1173917.03863472</v>
      </c>
      <c r="I114">
        <v>0.28334999999999999</v>
      </c>
      <c r="J114" s="6">
        <v>7.2505672641859798E-5</v>
      </c>
      <c r="K114">
        <v>1151476.4551605301</v>
      </c>
    </row>
    <row r="115" spans="1:11">
      <c r="A115">
        <v>0.30399999999999999</v>
      </c>
      <c r="B115" s="6">
        <v>6.69357423591229E-5</v>
      </c>
      <c r="C115">
        <v>650307.764684928</v>
      </c>
      <c r="E115">
        <v>0.28620000000000001</v>
      </c>
      <c r="F115" s="6">
        <v>6.6572346115918396E-5</v>
      </c>
      <c r="G115">
        <v>1172111.89233203</v>
      </c>
      <c r="I115">
        <v>0.28734999999999999</v>
      </c>
      <c r="J115" s="6">
        <v>7.2630115513514797E-5</v>
      </c>
      <c r="K115">
        <v>1148884.19600614</v>
      </c>
    </row>
    <row r="116" spans="1:11">
      <c r="A116">
        <v>0.308</v>
      </c>
      <c r="B116" s="6">
        <v>6.7030555855810504E-5</v>
      </c>
      <c r="C116">
        <v>649188.34768596594</v>
      </c>
      <c r="E116">
        <v>0.29020000000000001</v>
      </c>
      <c r="F116" s="6">
        <v>6.6652934613309594E-5</v>
      </c>
      <c r="G116">
        <v>1170387.3758626799</v>
      </c>
      <c r="I116">
        <v>0.29135</v>
      </c>
      <c r="J116" s="6">
        <v>7.2756880837678004E-5</v>
      </c>
      <c r="K116">
        <v>1146254.0367039</v>
      </c>
    </row>
    <row r="117" spans="1:11">
      <c r="A117">
        <v>0.312</v>
      </c>
      <c r="B117" s="6">
        <v>6.7125610074466604E-5</v>
      </c>
      <c r="C117">
        <v>648069.591590164</v>
      </c>
      <c r="E117">
        <v>0.29420000000000002</v>
      </c>
      <c r="F117" s="6">
        <v>6.6738512396334303E-5</v>
      </c>
      <c r="G117">
        <v>1168561.12553432</v>
      </c>
      <c r="I117">
        <v>0.29535</v>
      </c>
      <c r="J117" s="6">
        <v>7.2882372965233402E-5</v>
      </c>
      <c r="K117">
        <v>1143660.65077917</v>
      </c>
    </row>
    <row r="118" spans="1:11">
      <c r="A118">
        <v>0.316</v>
      </c>
      <c r="B118" s="6">
        <v>6.72240131095815E-5</v>
      </c>
      <c r="C118">
        <v>646915.09936550702</v>
      </c>
      <c r="E118">
        <v>0.29820000000000002</v>
      </c>
      <c r="F118" s="6">
        <v>6.6819587588960396E-5</v>
      </c>
      <c r="G118">
        <v>1166835.7227453301</v>
      </c>
      <c r="I118">
        <v>0.29935</v>
      </c>
      <c r="J118" s="6">
        <v>7.3004415898040204E-5</v>
      </c>
      <c r="K118">
        <v>1141148.3724178199</v>
      </c>
    </row>
    <row r="119" spans="1:11">
      <c r="A119">
        <v>0.32</v>
      </c>
      <c r="B119" s="6">
        <v>6.7322838727641596E-5</v>
      </c>
      <c r="C119">
        <v>645759.39769749006</v>
      </c>
      <c r="E119">
        <v>0.30220000000000002</v>
      </c>
      <c r="F119" s="6">
        <v>6.6900827707326805E-5</v>
      </c>
      <c r="G119">
        <v>1165111.4389800399</v>
      </c>
      <c r="I119">
        <v>0.30335000000000001</v>
      </c>
      <c r="J119" s="6">
        <v>7.3125067555710404E-5</v>
      </c>
      <c r="K119">
        <v>1138674.2071288801</v>
      </c>
    </row>
    <row r="120" spans="1:11">
      <c r="A120">
        <v>0.32400000000000001</v>
      </c>
      <c r="B120" s="6">
        <v>6.7418695564494101E-5</v>
      </c>
      <c r="C120">
        <v>644641.985954909</v>
      </c>
      <c r="E120">
        <v>0.30620000000000003</v>
      </c>
      <c r="F120" s="6">
        <v>6.6982316195058895E-5</v>
      </c>
      <c r="G120">
        <v>1163386.5204845399</v>
      </c>
      <c r="I120">
        <v>0.30735000000000001</v>
      </c>
      <c r="J120" s="6">
        <v>7.3249228365936597E-5</v>
      </c>
      <c r="K120">
        <v>1136137.8620786299</v>
      </c>
    </row>
    <row r="121" spans="1:11">
      <c r="A121">
        <v>0.32800000000000001</v>
      </c>
      <c r="B121" s="6">
        <v>6.7515086627504994E-5</v>
      </c>
      <c r="C121">
        <v>643521.877591572</v>
      </c>
      <c r="E121">
        <v>0.31019999999999998</v>
      </c>
      <c r="F121" s="6">
        <v>6.7065113030172904E-5</v>
      </c>
      <c r="G121">
        <v>1161638.6452301401</v>
      </c>
      <c r="I121">
        <v>0.31135000000000002</v>
      </c>
      <c r="J121" s="6">
        <v>7.3372355686850295E-5</v>
      </c>
      <c r="K121">
        <v>1133632.3719973899</v>
      </c>
    </row>
    <row r="122" spans="1:11">
      <c r="A122">
        <v>0.33200000000000002</v>
      </c>
      <c r="B122" s="6">
        <v>6.7601928712678598E-5</v>
      </c>
      <c r="C122">
        <v>642515.75058409804</v>
      </c>
      <c r="E122">
        <v>0.31419999999999998</v>
      </c>
      <c r="F122" s="6">
        <v>6.7147604790959093E-5</v>
      </c>
      <c r="G122">
        <v>1159901.94061521</v>
      </c>
      <c r="I122">
        <v>0.31535000000000002</v>
      </c>
      <c r="J122" s="6">
        <v>7.3495228416310294E-5</v>
      </c>
      <c r="K122">
        <v>1131141.68151141</v>
      </c>
    </row>
    <row r="123" spans="1:11">
      <c r="A123">
        <v>0.33600000000000002</v>
      </c>
      <c r="B123" s="6">
        <v>6.7701909849111194E-5</v>
      </c>
      <c r="C123">
        <v>641360.926991596</v>
      </c>
      <c r="E123">
        <v>0.31819999999999998</v>
      </c>
      <c r="F123" s="6">
        <v>6.7228766648609194E-5</v>
      </c>
      <c r="G123">
        <v>1158197.8244801101</v>
      </c>
      <c r="I123">
        <v>0.31935000000000002</v>
      </c>
      <c r="J123" s="6">
        <v>7.3615666272122305E-5</v>
      </c>
      <c r="K123">
        <v>1128709.6209702799</v>
      </c>
    </row>
    <row r="124" spans="1:11">
      <c r="A124">
        <v>0.34</v>
      </c>
      <c r="B124" s="6">
        <v>6.77933232211855E-5</v>
      </c>
      <c r="C124">
        <v>640308.35365380999</v>
      </c>
      <c r="E124">
        <v>0.32219999999999999</v>
      </c>
      <c r="F124" s="6">
        <v>6.7307920993394001E-5</v>
      </c>
      <c r="G124">
        <v>1156540.2272707401</v>
      </c>
      <c r="I124">
        <v>0.32335000000000003</v>
      </c>
      <c r="J124" s="6">
        <v>7.3733917195318902E-5</v>
      </c>
      <c r="K124">
        <v>1126330.6067796999</v>
      </c>
    </row>
    <row r="125" spans="1:11">
      <c r="A125">
        <v>0.34399999999999997</v>
      </c>
      <c r="B125" s="6">
        <v>6.7888959421197204E-5</v>
      </c>
      <c r="C125">
        <v>639210.50550757896</v>
      </c>
      <c r="E125">
        <v>0.32619999999999999</v>
      </c>
      <c r="F125" s="6">
        <v>6.7386664602360905E-5</v>
      </c>
      <c r="G125">
        <v>1154895.4953353701</v>
      </c>
      <c r="I125">
        <v>0.32734999999999997</v>
      </c>
      <c r="J125" s="6">
        <v>7.38537067557612E-5</v>
      </c>
      <c r="K125">
        <v>1123929.56661368</v>
      </c>
    </row>
    <row r="126" spans="1:11">
      <c r="A126">
        <v>0.34799999999999998</v>
      </c>
      <c r="B126" s="6">
        <v>6.7978358023258804E-5</v>
      </c>
      <c r="C126">
        <v>638187.34370562597</v>
      </c>
      <c r="E126">
        <v>0.33019999999999999</v>
      </c>
      <c r="F126" s="6">
        <v>6.7465624082695995E-5</v>
      </c>
      <c r="G126">
        <v>1153250.5088617599</v>
      </c>
      <c r="I126">
        <v>0.33134999999999998</v>
      </c>
      <c r="J126" s="6">
        <v>7.3974966730538306E-5</v>
      </c>
      <c r="K126">
        <v>1121508.15771401</v>
      </c>
    </row>
    <row r="127" spans="1:11">
      <c r="A127">
        <v>0.35199999999999998</v>
      </c>
      <c r="B127" s="6">
        <v>6.8065670507714502E-5</v>
      </c>
      <c r="C127">
        <v>637190.92038649903</v>
      </c>
      <c r="E127">
        <v>0.3342</v>
      </c>
      <c r="F127" s="6">
        <v>6.7544827513699494E-5</v>
      </c>
      <c r="G127">
        <v>1151604.70406482</v>
      </c>
      <c r="I127">
        <v>0.33534999999999998</v>
      </c>
      <c r="J127" s="6">
        <v>7.4097320183283904E-5</v>
      </c>
      <c r="K127">
        <v>1119074.1472191</v>
      </c>
    </row>
    <row r="128" spans="1:11">
      <c r="A128">
        <v>0.35599999999999998</v>
      </c>
      <c r="B128" s="6">
        <v>6.8159068927464304E-5</v>
      </c>
      <c r="C128">
        <v>636128.16269834701</v>
      </c>
      <c r="E128">
        <v>0.3382</v>
      </c>
      <c r="F128" s="6">
        <v>6.7621440195950405E-5</v>
      </c>
      <c r="G128">
        <v>1150016.7815544</v>
      </c>
      <c r="I128">
        <v>0.33934999999999998</v>
      </c>
      <c r="J128" s="6">
        <v>7.4215511369439096E-5</v>
      </c>
      <c r="K128">
        <v>1116731.69681546</v>
      </c>
    </row>
    <row r="129" spans="1:11">
      <c r="A129">
        <v>0.36</v>
      </c>
      <c r="B129" s="6">
        <v>6.8254287264718605E-5</v>
      </c>
      <c r="C129">
        <v>635048.00108937104</v>
      </c>
      <c r="E129">
        <v>0.3422</v>
      </c>
      <c r="F129" s="6">
        <v>6.76972051122979E-5</v>
      </c>
      <c r="G129">
        <v>1148450.33105523</v>
      </c>
      <c r="I129">
        <v>0.34334999999999999</v>
      </c>
      <c r="J129" s="6">
        <v>7.4334736954290693E-5</v>
      </c>
      <c r="K129">
        <v>1114377.4212267201</v>
      </c>
    </row>
    <row r="130" spans="1:11">
      <c r="A130">
        <v>0.36399999999999999</v>
      </c>
      <c r="B130" s="6">
        <v>6.8338326583710198E-5</v>
      </c>
      <c r="C130">
        <v>634097.41394038405</v>
      </c>
      <c r="E130">
        <v>0.34620000000000001</v>
      </c>
      <c r="F130" s="6">
        <v>6.7777026998440496E-5</v>
      </c>
      <c r="G130">
        <v>1146804.1834692601</v>
      </c>
      <c r="I130">
        <v>0.34734999999999999</v>
      </c>
      <c r="J130" s="6">
        <v>7.4454369043432995E-5</v>
      </c>
      <c r="K130">
        <v>1112023.8305990801</v>
      </c>
    </row>
    <row r="131" spans="1:11">
      <c r="A131">
        <v>0.36799999999999999</v>
      </c>
      <c r="B131" s="6">
        <v>6.8423242308263601E-5</v>
      </c>
      <c r="C131">
        <v>633139.53119131597</v>
      </c>
      <c r="E131">
        <v>0.35020000000000001</v>
      </c>
      <c r="F131" s="6">
        <v>6.7857096804666494E-5</v>
      </c>
      <c r="G131">
        <v>1145157.2170249999</v>
      </c>
      <c r="I131">
        <v>0.35135</v>
      </c>
      <c r="J131" s="6">
        <v>7.4573319252280705E-5</v>
      </c>
      <c r="K131">
        <v>1109692.26154413</v>
      </c>
    </row>
    <row r="132" spans="1:11">
      <c r="A132">
        <v>0.372</v>
      </c>
      <c r="B132" s="6">
        <v>6.8518238182437298E-5</v>
      </c>
      <c r="C132">
        <v>632071.04651559505</v>
      </c>
      <c r="E132">
        <v>0.35420000000000001</v>
      </c>
      <c r="F132" s="6">
        <v>6.7936749027676697E-5</v>
      </c>
      <c r="G132">
        <v>1143523.09077944</v>
      </c>
      <c r="I132">
        <v>0.35535</v>
      </c>
      <c r="J132" s="6">
        <v>7.4693246180362199E-5</v>
      </c>
      <c r="K132">
        <v>1107350.1902312399</v>
      </c>
    </row>
    <row r="133" spans="1:11">
      <c r="A133">
        <v>0.376</v>
      </c>
      <c r="B133" s="6">
        <v>6.86137633165159E-5</v>
      </c>
      <c r="C133">
        <v>630999.901549806</v>
      </c>
      <c r="E133">
        <v>0.35820000000000002</v>
      </c>
      <c r="F133" s="6">
        <v>6.8014340069852896E-5</v>
      </c>
      <c r="G133">
        <v>1141935.3124740401</v>
      </c>
      <c r="I133">
        <v>0.35935</v>
      </c>
      <c r="J133" s="6">
        <v>7.4812458998658405E-5</v>
      </c>
      <c r="K133">
        <v>1105030.6199670199</v>
      </c>
    </row>
    <row r="134" spans="1:11">
      <c r="A134">
        <v>0.38</v>
      </c>
      <c r="B134" s="6">
        <v>6.8693657705887597E-5</v>
      </c>
      <c r="C134">
        <v>630106.55158548197</v>
      </c>
      <c r="E134">
        <v>0.36220000000000002</v>
      </c>
      <c r="F134" s="6">
        <v>6.8090420298943103E-5</v>
      </c>
      <c r="G134">
        <v>1140382.3281000501</v>
      </c>
      <c r="I134">
        <v>0.36335000000000001</v>
      </c>
      <c r="J134" s="6">
        <v>7.4932767387934698E-5</v>
      </c>
      <c r="K134">
        <v>1102698.3351903099</v>
      </c>
    </row>
    <row r="135" spans="1:11">
      <c r="A135">
        <v>0.38400000000000001</v>
      </c>
      <c r="B135" s="6">
        <v>6.8783346395528101E-5</v>
      </c>
      <c r="C135">
        <v>629106.41489530599</v>
      </c>
      <c r="E135">
        <v>0.36620000000000003</v>
      </c>
      <c r="F135" s="6">
        <v>6.8168494870016902E-5</v>
      </c>
      <c r="G135">
        <v>1138792.611913</v>
      </c>
      <c r="I135">
        <v>0.36735000000000001</v>
      </c>
      <c r="J135" s="6">
        <v>7.5048475395742497E-5</v>
      </c>
      <c r="K135">
        <v>1100463.3417462399</v>
      </c>
    </row>
    <row r="136" spans="1:11">
      <c r="A136">
        <v>0.38800000000000001</v>
      </c>
      <c r="B136" s="6">
        <v>6.8863540057684006E-5</v>
      </c>
      <c r="C136">
        <v>628214.59338878805</v>
      </c>
      <c r="E136">
        <v>0.37019999999999997</v>
      </c>
      <c r="F136" s="6">
        <v>6.8247277296532198E-5</v>
      </c>
      <c r="G136">
        <v>1137192.5517134899</v>
      </c>
      <c r="I136">
        <v>0.37135000000000001</v>
      </c>
      <c r="J136" s="6">
        <v>7.5170558228773401E-5</v>
      </c>
      <c r="K136">
        <v>1098113.79093268</v>
      </c>
    </row>
    <row r="137" spans="1:11">
      <c r="A137">
        <v>0.39200000000000002</v>
      </c>
      <c r="B137" s="6">
        <v>6.8949533939447106E-5</v>
      </c>
      <c r="C137">
        <v>627260.81293881801</v>
      </c>
      <c r="E137">
        <v>0.37419999999999998</v>
      </c>
      <c r="F137" s="6">
        <v>6.83235324489522E-5</v>
      </c>
      <c r="G137">
        <v>1135647.69834785</v>
      </c>
      <c r="I137">
        <v>0.37535000000000002</v>
      </c>
      <c r="J137" s="6">
        <v>7.5283366001513199E-5</v>
      </c>
      <c r="K137">
        <v>1095950.5295621001</v>
      </c>
    </row>
    <row r="138" spans="1:11">
      <c r="A138">
        <v>0.39600000000000002</v>
      </c>
      <c r="B138" s="6">
        <v>6.9030837355086306E-5</v>
      </c>
      <c r="C138">
        <v>626361.46741982596</v>
      </c>
      <c r="E138">
        <v>0.37819999999999998</v>
      </c>
      <c r="F138" s="6">
        <v>6.8397642068402693E-5</v>
      </c>
      <c r="G138">
        <v>1134149.9538290501</v>
      </c>
      <c r="I138">
        <v>0.37935000000000002</v>
      </c>
      <c r="J138" s="6">
        <v>7.5403797515935598E-5</v>
      </c>
      <c r="K138">
        <v>1093649.2861291401</v>
      </c>
    </row>
    <row r="139" spans="1:11">
      <c r="A139">
        <v>0.4</v>
      </c>
      <c r="B139" s="6">
        <v>6.8978616058685798E-5</v>
      </c>
      <c r="C139">
        <v>626938.85493576305</v>
      </c>
      <c r="E139">
        <v>0.38219999999999998</v>
      </c>
      <c r="F139" s="6">
        <v>6.8476522087772306E-5</v>
      </c>
      <c r="G139">
        <v>1132559.7315567799</v>
      </c>
      <c r="I139">
        <v>0.38335000000000002</v>
      </c>
      <c r="J139" s="6">
        <v>7.5523227705068602E-5</v>
      </c>
      <c r="K139">
        <v>1091375.50926999</v>
      </c>
    </row>
    <row r="140" spans="1:11">
      <c r="E140">
        <v>0.38619999999999999</v>
      </c>
      <c r="F140" s="6">
        <v>6.8550258532542704E-5</v>
      </c>
      <c r="G140">
        <v>1131076.85583657</v>
      </c>
      <c r="I140">
        <v>0.38735000000000003</v>
      </c>
      <c r="J140" s="6">
        <v>7.5640247088678796E-5</v>
      </c>
      <c r="K140">
        <v>1089155.6372751701</v>
      </c>
    </row>
    <row r="141" spans="1:11">
      <c r="E141">
        <v>0.39019999999999999</v>
      </c>
      <c r="F141" s="6">
        <v>6.8633511734307495E-5</v>
      </c>
      <c r="G141">
        <v>1129406.8212367699</v>
      </c>
      <c r="I141">
        <v>0.39134999999999998</v>
      </c>
      <c r="J141" s="6">
        <v>7.5762610285430804E-5</v>
      </c>
      <c r="K141">
        <v>1086842.8263968599</v>
      </c>
    </row>
    <row r="142" spans="1:11">
      <c r="E142">
        <v>0.39419999999999999</v>
      </c>
      <c r="F142" s="6">
        <v>6.8708852987619401E-5</v>
      </c>
      <c r="G142">
        <v>1127899.34719901</v>
      </c>
      <c r="I142">
        <v>0.39534999999999998</v>
      </c>
      <c r="J142" s="6">
        <v>7.5884793523647704E-5</v>
      </c>
      <c r="K142">
        <v>1084541.97388522</v>
      </c>
    </row>
    <row r="143" spans="1:11">
      <c r="E143">
        <v>0.3982</v>
      </c>
      <c r="F143" s="6">
        <v>6.8763326415818303E-5</v>
      </c>
      <c r="G143">
        <v>1126811.6787993</v>
      </c>
      <c r="I143">
        <v>0.39934999999999998</v>
      </c>
      <c r="J143" s="6">
        <v>7.6022618071225695E-5</v>
      </c>
      <c r="K143">
        <v>1081956.787393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Exp_Laminar_flame_speed</vt:lpstr>
      <vt:lpstr>Marksteinlength</vt:lpstr>
      <vt:lpstr>Ex_IDT_OME2_15bar_phi05</vt:lpstr>
      <vt:lpstr>Ex_IDT_OME2_15bar_phi2</vt:lpstr>
      <vt:lpstr>Ex_IDT_OME2_10bar_phi2</vt:lpstr>
      <vt:lpstr>Ex_IDT_OME3_15bar_phi05</vt:lpstr>
      <vt:lpstr>Ex_IDT_OME3_15bar_phi2</vt:lpstr>
      <vt:lpstr>Volume_profiles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Latitude7370</cp:lastModifiedBy>
  <dcterms:modified xsi:type="dcterms:W3CDTF">2022-10-15T12:51:08Z</dcterms:modified>
</cp:coreProperties>
</file>